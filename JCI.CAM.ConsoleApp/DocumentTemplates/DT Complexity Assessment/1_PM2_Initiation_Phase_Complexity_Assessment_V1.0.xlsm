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B7FE6334-C1A2-E50D-BD3D-5F4D41BBC2E3}"/>
  <workbookPr codeName="ThisWorkbook"/>
  <mc:AlternateContent xmlns:mc="http://schemas.openxmlformats.org/markup-compatibility/2006">
    <mc:Choice Requires="x15">
      <x15ac:absPath xmlns:x15ac="http://schemas.microsoft.com/office/spreadsheetml/2010/11/ac" url="C:\Projects\Johnson Controls\Documents\Document Templates\"/>
    </mc:Choice>
  </mc:AlternateContent>
  <bookViews>
    <workbookView xWindow="12000" yWindow="-15" windowWidth="12045" windowHeight="12030"/>
  </bookViews>
  <sheets>
    <sheet name="Instructions" sheetId="8" r:id="rId1"/>
    <sheet name="Data Entry" sheetId="5" r:id="rId2"/>
  </sheets>
  <definedNames>
    <definedName name="_xlnm._FilterDatabase" localSheetId="1" hidden="1">'Data Entry'!$B$13:$M$125</definedName>
    <definedName name="const_Rating">'Data Entry'!$J$15:$J$29,'Data Entry'!$J$31:$J$45,'Data Entry'!$J$47:$J$61,'Data Entry'!$J$63:$J$77,'Data Entry'!$J$79:$J$93,'Data Entry'!$J$95:$J$109,'Data Entry'!$J$111:$J$125</definedName>
    <definedName name="var_Phase">'Data Entry'!$E$7</definedName>
    <definedName name="var_Question">'Data Entry'!$N$3</definedName>
    <definedName name="Z_A99D6F31_EAC2_4843_9C6F_AD93421A6BA2_.wvu.Cols" localSheetId="1" hidden="1">'Data Entry'!$L:$M,'Data Entry'!#REF!,'Data Entry'!#REF!,'Data Entry'!#REF!,'Data Entry'!#REF!,'Data Entry'!#REF!,'Data Entry'!#REF!,'Data Entry'!#REF!,'Data Entry'!#REF!,'Data Entry'!#REF!</definedName>
  </definedNames>
  <calcPr calcId="152511"/>
</workbook>
</file>

<file path=xl/calcChain.xml><?xml version="1.0" encoding="utf-8"?>
<calcChain xmlns="http://schemas.openxmlformats.org/spreadsheetml/2006/main">
  <c r="L48" i="5" l="1"/>
  <c r="L49" i="5"/>
  <c r="L50" i="5"/>
  <c r="L51" i="5"/>
  <c r="L52" i="5"/>
  <c r="L53" i="5"/>
  <c r="L54" i="5"/>
  <c r="L55" i="5"/>
  <c r="L56" i="5"/>
  <c r="L57" i="5"/>
  <c r="L58" i="5"/>
  <c r="L59" i="5"/>
  <c r="L60" i="5"/>
  <c r="L61" i="5"/>
  <c r="K11" i="5" a="1"/>
  <c r="K11" i="5" s="1"/>
  <c r="E7" i="5"/>
  <c r="J62" i="5"/>
  <c r="J78" i="5"/>
  <c r="J94" i="5"/>
  <c r="L26" i="5"/>
  <c r="AG13" i="5" l="1"/>
  <c r="AG15" i="5"/>
  <c r="AG16" i="5"/>
  <c r="AG17" i="5"/>
  <c r="AG18" i="5"/>
  <c r="AG19" i="5"/>
  <c r="AG20" i="5"/>
  <c r="AG21" i="5"/>
  <c r="AG22" i="5"/>
  <c r="AG23" i="5"/>
  <c r="AG24" i="5"/>
  <c r="AG25" i="5"/>
  <c r="AG31" i="5"/>
  <c r="AG32" i="5"/>
  <c r="AG33" i="5"/>
  <c r="AG34" i="5"/>
  <c r="AG35" i="5"/>
  <c r="AG47" i="5"/>
  <c r="AG48" i="5"/>
  <c r="AG49" i="5"/>
  <c r="AG50" i="5"/>
  <c r="AG63" i="5"/>
  <c r="AG64" i="5"/>
  <c r="AG65" i="5"/>
  <c r="AG66" i="5"/>
  <c r="AG67" i="5"/>
  <c r="AG68" i="5"/>
  <c r="AG69" i="5"/>
  <c r="AG70" i="5"/>
  <c r="AG79" i="5"/>
  <c r="AG80" i="5"/>
  <c r="I110" i="5"/>
  <c r="I94" i="5"/>
  <c r="I78" i="5"/>
  <c r="I62" i="5"/>
  <c r="I46" i="5"/>
  <c r="I30" i="5"/>
  <c r="I14" i="5"/>
  <c r="AF14" i="5" a="1"/>
  <c r="AF14" i="5" s="1"/>
  <c r="AF30" i="5" a="1"/>
  <c r="AF30" i="5" s="1"/>
  <c r="AF46" i="5" a="1"/>
  <c r="AF46" i="5" s="1"/>
  <c r="AF62" i="5" a="1"/>
  <c r="AF62" i="5" s="1"/>
  <c r="AF78" i="5" a="1"/>
  <c r="AF78" i="5" s="1"/>
  <c r="AF94" i="5" a="1"/>
  <c r="AF94" i="5" s="1"/>
  <c r="AF110" i="5" a="1"/>
  <c r="AF110" i="5" s="1"/>
  <c r="AE110" i="5" a="1"/>
  <c r="AE110" i="5" s="1"/>
  <c r="AD110" i="5" a="1"/>
  <c r="AD110" i="5" s="1"/>
  <c r="AC110" i="5" a="1"/>
  <c r="AC110" i="5" s="1"/>
  <c r="AB110" i="5" a="1"/>
  <c r="AB110" i="5" s="1"/>
  <c r="AA110" i="5" a="1"/>
  <c r="AA110" i="5" s="1"/>
  <c r="Z110" i="5" a="1"/>
  <c r="Z110" i="5" s="1"/>
  <c r="Y110" i="5" a="1"/>
  <c r="Y110" i="5" s="1"/>
  <c r="X110" i="5" a="1"/>
  <c r="X110" i="5" s="1"/>
  <c r="W110" i="5" a="1"/>
  <c r="W110" i="5" s="1"/>
  <c r="V110" i="5" a="1"/>
  <c r="V110" i="5" s="1"/>
  <c r="U110" i="5" a="1"/>
  <c r="U110" i="5" s="1"/>
  <c r="T110" i="5" a="1"/>
  <c r="T110" i="5" s="1"/>
  <c r="S110" i="5" a="1"/>
  <c r="S110" i="5" s="1"/>
  <c r="R110" i="5" a="1"/>
  <c r="R110" i="5" s="1"/>
  <c r="Q110" i="5" a="1"/>
  <c r="Q110" i="5" s="1"/>
  <c r="P110" i="5" a="1"/>
  <c r="P110" i="5" s="1"/>
  <c r="O110" i="5" a="1"/>
  <c r="O110" i="5" s="1"/>
  <c r="N110" i="5" a="1"/>
  <c r="N110" i="5" s="1"/>
  <c r="AE94" i="5" a="1"/>
  <c r="AE94" i="5" s="1"/>
  <c r="AD94" i="5" a="1"/>
  <c r="AD94" i="5" s="1"/>
  <c r="AC94" i="5" a="1"/>
  <c r="AC94" i="5" s="1"/>
  <c r="AB94" i="5" a="1"/>
  <c r="AB94" i="5" s="1"/>
  <c r="AA94" i="5" a="1"/>
  <c r="AA94" i="5" s="1"/>
  <c r="Z94" i="5" a="1"/>
  <c r="Z94" i="5" s="1"/>
  <c r="Y94" i="5" a="1"/>
  <c r="Y94" i="5" s="1"/>
  <c r="X94" i="5" a="1"/>
  <c r="X94" i="5" s="1"/>
  <c r="W94" i="5" a="1"/>
  <c r="W94" i="5" s="1"/>
  <c r="V94" i="5" a="1"/>
  <c r="V94" i="5" s="1"/>
  <c r="U94" i="5" a="1"/>
  <c r="U94" i="5" s="1"/>
  <c r="T94" i="5" a="1"/>
  <c r="T94" i="5" s="1"/>
  <c r="S94" i="5" a="1"/>
  <c r="S94" i="5" s="1"/>
  <c r="R94" i="5" a="1"/>
  <c r="R94" i="5" s="1"/>
  <c r="Q94" i="5" a="1"/>
  <c r="Q94" i="5" s="1"/>
  <c r="P94" i="5" a="1"/>
  <c r="P94" i="5" s="1"/>
  <c r="O94" i="5" a="1"/>
  <c r="O94" i="5" s="1"/>
  <c r="N94" i="5" a="1"/>
  <c r="N94" i="5" s="1"/>
  <c r="AE78" i="5" a="1"/>
  <c r="AE78" i="5" s="1"/>
  <c r="AD78" i="5" a="1"/>
  <c r="AD78" i="5" s="1"/>
  <c r="AC78" i="5" a="1"/>
  <c r="AC78" i="5" s="1"/>
  <c r="AB78" i="5" a="1"/>
  <c r="AB78" i="5" s="1"/>
  <c r="AA78" i="5" a="1"/>
  <c r="AA78" i="5" s="1"/>
  <c r="Z78" i="5" a="1"/>
  <c r="Z78" i="5" s="1"/>
  <c r="Y78" i="5" a="1"/>
  <c r="Y78" i="5" s="1"/>
  <c r="X78" i="5" a="1"/>
  <c r="X78" i="5" s="1"/>
  <c r="W78" i="5" a="1"/>
  <c r="W78" i="5" s="1"/>
  <c r="V78" i="5" a="1"/>
  <c r="V78" i="5" s="1"/>
  <c r="U78" i="5" a="1"/>
  <c r="U78" i="5" s="1"/>
  <c r="T78" i="5" a="1"/>
  <c r="T78" i="5" s="1"/>
  <c r="S78" i="5" a="1"/>
  <c r="S78" i="5" s="1"/>
  <c r="R78" i="5" a="1"/>
  <c r="R78" i="5" s="1"/>
  <c r="Q78" i="5" a="1"/>
  <c r="Q78" i="5" s="1"/>
  <c r="P78" i="5" a="1"/>
  <c r="P78" i="5" s="1"/>
  <c r="O78" i="5" a="1"/>
  <c r="O78" i="5" s="1"/>
  <c r="N78" i="5" a="1"/>
  <c r="N78" i="5" s="1"/>
  <c r="AE62" i="5" a="1"/>
  <c r="AE62" i="5" s="1"/>
  <c r="AD62" i="5" a="1"/>
  <c r="AD62" i="5" s="1"/>
  <c r="AC62" i="5" a="1"/>
  <c r="AC62" i="5" s="1"/>
  <c r="AB62" i="5" a="1"/>
  <c r="AB62" i="5" s="1"/>
  <c r="AA62" i="5" a="1"/>
  <c r="AA62" i="5" s="1"/>
  <c r="Z62" i="5" a="1"/>
  <c r="Z62" i="5" s="1"/>
  <c r="Y62" i="5" a="1"/>
  <c r="Y62" i="5" s="1"/>
  <c r="X62" i="5" a="1"/>
  <c r="X62" i="5" s="1"/>
  <c r="W62" i="5" a="1"/>
  <c r="W62" i="5" s="1"/>
  <c r="V62" i="5" a="1"/>
  <c r="V62" i="5" s="1"/>
  <c r="U62" i="5" a="1"/>
  <c r="U62" i="5" s="1"/>
  <c r="T62" i="5" a="1"/>
  <c r="T62" i="5" s="1"/>
  <c r="S62" i="5" a="1"/>
  <c r="S62" i="5" s="1"/>
  <c r="R62" i="5" a="1"/>
  <c r="R62" i="5" s="1"/>
  <c r="Q62" i="5" a="1"/>
  <c r="Q62" i="5" s="1"/>
  <c r="P62" i="5" a="1"/>
  <c r="P62" i="5" s="1"/>
  <c r="O62" i="5" a="1"/>
  <c r="O62" i="5" s="1"/>
  <c r="N62" i="5" a="1"/>
  <c r="N62" i="5" s="1"/>
  <c r="AE46" i="5" a="1"/>
  <c r="AE46" i="5" s="1"/>
  <c r="AD46" i="5" a="1"/>
  <c r="AD46" i="5" s="1"/>
  <c r="AC46" i="5" a="1"/>
  <c r="AC46" i="5" s="1"/>
  <c r="AB46" i="5" a="1"/>
  <c r="AB46" i="5" s="1"/>
  <c r="AA46" i="5" a="1"/>
  <c r="AA46" i="5" s="1"/>
  <c r="Z46" i="5" a="1"/>
  <c r="Z46" i="5" s="1"/>
  <c r="Y46" i="5" a="1"/>
  <c r="Y46" i="5" s="1"/>
  <c r="X46" i="5" a="1"/>
  <c r="X46" i="5" s="1"/>
  <c r="W46" i="5" a="1"/>
  <c r="W46" i="5" s="1"/>
  <c r="V46" i="5" a="1"/>
  <c r="V46" i="5" s="1"/>
  <c r="U46" i="5" a="1"/>
  <c r="U46" i="5" s="1"/>
  <c r="T46" i="5" a="1"/>
  <c r="T46" i="5" s="1"/>
  <c r="S46" i="5" a="1"/>
  <c r="S46" i="5" s="1"/>
  <c r="R46" i="5" a="1"/>
  <c r="R46" i="5" s="1"/>
  <c r="Q46" i="5" a="1"/>
  <c r="Q46" i="5" s="1"/>
  <c r="P46" i="5" a="1"/>
  <c r="P46" i="5" s="1"/>
  <c r="O46" i="5" a="1"/>
  <c r="O46" i="5" s="1"/>
  <c r="N46" i="5" a="1"/>
  <c r="N46" i="5" s="1"/>
  <c r="AE30" i="5" a="1"/>
  <c r="AE30" i="5" s="1"/>
  <c r="AD30" i="5" a="1"/>
  <c r="AD30" i="5" s="1"/>
  <c r="AC30" i="5" a="1"/>
  <c r="AC30" i="5" s="1"/>
  <c r="AB30" i="5" a="1"/>
  <c r="AB30" i="5" s="1"/>
  <c r="AA30" i="5" a="1"/>
  <c r="AA30" i="5" s="1"/>
  <c r="Z30" i="5" a="1"/>
  <c r="Z30" i="5" s="1"/>
  <c r="Y30" i="5" a="1"/>
  <c r="Y30" i="5" s="1"/>
  <c r="X30" i="5" a="1"/>
  <c r="X30" i="5" s="1"/>
  <c r="W30" i="5" a="1"/>
  <c r="W30" i="5" s="1"/>
  <c r="V30" i="5" a="1"/>
  <c r="V30" i="5" s="1"/>
  <c r="U30" i="5" a="1"/>
  <c r="U30" i="5" s="1"/>
  <c r="T30" i="5" a="1"/>
  <c r="T30" i="5" s="1"/>
  <c r="S30" i="5" a="1"/>
  <c r="S30" i="5" s="1"/>
  <c r="R30" i="5" a="1"/>
  <c r="R30" i="5" s="1"/>
  <c r="Q30" i="5" a="1"/>
  <c r="Q30" i="5" s="1"/>
  <c r="P30" i="5" a="1"/>
  <c r="P30" i="5" s="1"/>
  <c r="O30" i="5" a="1"/>
  <c r="O30" i="5" s="1"/>
  <c r="N30" i="5" a="1"/>
  <c r="N30" i="5" s="1"/>
  <c r="O14" i="5" a="1"/>
  <c r="O14" i="5" s="1"/>
  <c r="P14" i="5" a="1"/>
  <c r="P14" i="5" s="1"/>
  <c r="Q14" i="5" a="1"/>
  <c r="Q14" i="5" s="1"/>
  <c r="R14" i="5" a="1"/>
  <c r="R14" i="5" s="1"/>
  <c r="S14" i="5" a="1"/>
  <c r="S14" i="5" s="1"/>
  <c r="T14" i="5" a="1"/>
  <c r="T14" i="5" s="1"/>
  <c r="U14" i="5" a="1"/>
  <c r="U14" i="5" s="1"/>
  <c r="V14" i="5" a="1"/>
  <c r="V14" i="5" s="1"/>
  <c r="W14" i="5" a="1"/>
  <c r="W14" i="5" s="1"/>
  <c r="X14" i="5" a="1"/>
  <c r="X14" i="5" s="1"/>
  <c r="Y14" i="5" a="1"/>
  <c r="Y14" i="5" s="1"/>
  <c r="Z14" i="5" a="1"/>
  <c r="Z14" i="5" s="1"/>
  <c r="AA14" i="5" a="1"/>
  <c r="AA14" i="5" s="1"/>
  <c r="AB14" i="5" a="1"/>
  <c r="AB14" i="5" s="1"/>
  <c r="AC14" i="5" a="1"/>
  <c r="AC14" i="5" s="1"/>
  <c r="AD14" i="5" a="1"/>
  <c r="AD14" i="5" s="1"/>
  <c r="AE14" i="5" a="1"/>
  <c r="AE14" i="5" s="1"/>
  <c r="N14" i="5" a="1"/>
  <c r="N14" i="5" s="1"/>
  <c r="K110" i="5"/>
  <c r="K94" i="5"/>
  <c r="K78" i="5"/>
  <c r="M78" i="5" s="1"/>
  <c r="K62" i="5"/>
  <c r="K46" i="5"/>
  <c r="K30" i="5"/>
  <c r="K14" i="5"/>
  <c r="L11" i="5"/>
  <c r="J10" i="5"/>
  <c r="J9" i="5"/>
  <c r="J8" i="5"/>
  <c r="J7" i="5"/>
  <c r="J6" i="5"/>
  <c r="J5" i="5"/>
  <c r="J4" i="5"/>
  <c r="L125" i="5"/>
  <c r="L124" i="5"/>
  <c r="L123" i="5"/>
  <c r="L122" i="5"/>
  <c r="L121" i="5"/>
  <c r="L120" i="5"/>
  <c r="L119" i="5"/>
  <c r="L118" i="5"/>
  <c r="L117" i="5"/>
  <c r="L116" i="5"/>
  <c r="L115" i="5"/>
  <c r="L114" i="5"/>
  <c r="L113" i="5"/>
  <c r="L112" i="5"/>
  <c r="L111" i="5"/>
  <c r="J110" i="5"/>
  <c r="M110" i="5" s="1"/>
  <c r="L109" i="5"/>
  <c r="L108" i="5"/>
  <c r="L107" i="5"/>
  <c r="L106" i="5"/>
  <c r="L105" i="5"/>
  <c r="L104" i="5"/>
  <c r="L103" i="5"/>
  <c r="L102" i="5"/>
  <c r="L101" i="5"/>
  <c r="L100" i="5"/>
  <c r="L99" i="5"/>
  <c r="L98" i="5"/>
  <c r="L97" i="5"/>
  <c r="L96" i="5"/>
  <c r="L95" i="5"/>
  <c r="L93" i="5"/>
  <c r="L92" i="5"/>
  <c r="L91" i="5"/>
  <c r="L90" i="5"/>
  <c r="L89" i="5"/>
  <c r="L88" i="5"/>
  <c r="L87" i="5"/>
  <c r="L86" i="5"/>
  <c r="L85" i="5"/>
  <c r="L84" i="5"/>
  <c r="L83" i="5"/>
  <c r="L82" i="5"/>
  <c r="L81" i="5"/>
  <c r="L80" i="5"/>
  <c r="L79" i="5"/>
  <c r="L77" i="5"/>
  <c r="L76" i="5"/>
  <c r="L75" i="5"/>
  <c r="L74" i="5"/>
  <c r="L73" i="5"/>
  <c r="L72" i="5"/>
  <c r="L71" i="5"/>
  <c r="L70" i="5"/>
  <c r="L69" i="5"/>
  <c r="L68" i="5"/>
  <c r="L67" i="5"/>
  <c r="L66" i="5"/>
  <c r="L65" i="5"/>
  <c r="L64" i="5"/>
  <c r="L63" i="5"/>
  <c r="L47" i="5"/>
  <c r="J46" i="5"/>
  <c r="L45" i="5"/>
  <c r="L44" i="5"/>
  <c r="L43" i="5"/>
  <c r="L42" i="5"/>
  <c r="L41" i="5"/>
  <c r="L40" i="5"/>
  <c r="L39" i="5"/>
  <c r="L38" i="5"/>
  <c r="L37" i="5"/>
  <c r="L36" i="5"/>
  <c r="L35" i="5"/>
  <c r="L34" i="5"/>
  <c r="L33" i="5"/>
  <c r="L32" i="5"/>
  <c r="L31" i="5"/>
  <c r="J30" i="5"/>
  <c r="L29" i="5"/>
  <c r="L28" i="5"/>
  <c r="L27" i="5"/>
  <c r="L25" i="5"/>
  <c r="L24" i="5"/>
  <c r="L23" i="5"/>
  <c r="L22" i="5"/>
  <c r="L21" i="5"/>
  <c r="L20" i="5"/>
  <c r="L19" i="5"/>
  <c r="L18" i="5"/>
  <c r="L17" i="5"/>
  <c r="L16" i="5"/>
  <c r="L15" i="5"/>
  <c r="J14" i="5"/>
  <c r="M46" i="5" l="1"/>
  <c r="AF12" i="5"/>
  <c r="AE12" i="5"/>
  <c r="AC12" i="5"/>
  <c r="AA12" i="5"/>
  <c r="Y12" i="5"/>
  <c r="W12" i="5"/>
  <c r="U12" i="5"/>
  <c r="S12" i="5"/>
  <c r="Q12" i="5"/>
  <c r="O12" i="5"/>
  <c r="N12" i="5"/>
  <c r="AD12" i="5"/>
  <c r="AB12" i="5"/>
  <c r="Z12" i="5"/>
  <c r="X12" i="5"/>
  <c r="V12" i="5"/>
  <c r="T12" i="5"/>
  <c r="R12" i="5"/>
  <c r="P12" i="5"/>
  <c r="M30" i="5"/>
  <c r="M62" i="5"/>
  <c r="M94" i="5"/>
  <c r="K4" i="5"/>
  <c r="K6" i="5"/>
  <c r="K8" i="5"/>
  <c r="K10" i="5"/>
  <c r="K5" i="5"/>
  <c r="K7" i="5"/>
  <c r="K9" i="5"/>
  <c r="L110" i="5"/>
  <c r="L14" i="5"/>
  <c r="L30" i="5"/>
  <c r="L46" i="5"/>
  <c r="L78" i="5"/>
  <c r="L94" i="5"/>
  <c r="L62" i="5"/>
  <c r="M14" i="5" l="1"/>
  <c r="K2" i="5" s="1"/>
</calcChain>
</file>

<file path=xl/comments1.xml><?xml version="1.0" encoding="utf-8"?>
<comments xmlns="http://schemas.openxmlformats.org/spreadsheetml/2006/main">
  <authors>
    <author>amarxm</author>
    <author>Michael Marx</author>
  </authors>
  <commentList>
    <comment ref="E7" authorId="0" shapeId="0">
      <text>
        <r>
          <rPr>
            <b/>
            <sz val="8"/>
            <color indexed="81"/>
            <rFont val="Tahoma"/>
            <family val="2"/>
          </rPr>
          <t>amarxm:</t>
        </r>
        <r>
          <rPr>
            <sz val="8"/>
            <color indexed="81"/>
            <rFont val="Tahoma"/>
            <family val="2"/>
          </rPr>
          <t xml:space="preserve">
Phase index is hidden; used for filter buttons.
1= Initiation
2= Proposal
3=Design</t>
        </r>
      </text>
    </comment>
    <comment ref="H9" authorId="0" shapeId="0">
      <text>
        <r>
          <rPr>
            <b/>
            <sz val="8"/>
            <color indexed="81"/>
            <rFont val="Tahoma"/>
            <family val="2"/>
          </rPr>
          <t>amarxm:</t>
        </r>
        <r>
          <rPr>
            <sz val="8"/>
            <color indexed="81"/>
            <rFont val="Tahoma"/>
            <family val="2"/>
          </rPr>
          <t xml:space="preserve">
Double click to update.</t>
        </r>
      </text>
    </comment>
    <comment ref="K11" authorId="0" shapeId="0">
      <text>
        <r>
          <rPr>
            <b/>
            <sz val="8"/>
            <color indexed="81"/>
            <rFont val="Tahoma"/>
            <family val="2"/>
          </rPr>
          <t>amarxm:</t>
        </r>
        <r>
          <rPr>
            <sz val="8"/>
            <color indexed="81"/>
            <rFont val="Tahoma"/>
            <family val="2"/>
          </rPr>
          <t xml:space="preserve">
Count questions not yet answered.</t>
        </r>
      </text>
    </comment>
    <comment ref="N12" authorId="0" shapeId="0">
      <text>
        <r>
          <rPr>
            <b/>
            <sz val="10"/>
            <color indexed="81"/>
            <rFont val="Tahoma"/>
            <family val="2"/>
          </rPr>
          <t>amarxm:</t>
        </r>
        <r>
          <rPr>
            <sz val="10"/>
            <color indexed="81"/>
            <rFont val="Tahoma"/>
            <family val="2"/>
          </rPr>
          <t xml:space="preserve">
Count of ratings exceeding threshold</t>
        </r>
      </text>
    </comment>
    <comment ref="D13" authorId="0" shapeId="0">
      <text>
        <r>
          <rPr>
            <b/>
            <sz val="10"/>
            <color indexed="81"/>
            <rFont val="Tahoma"/>
            <family val="2"/>
          </rPr>
          <t>amarxm:</t>
        </r>
        <r>
          <rPr>
            <sz val="10"/>
            <color indexed="81"/>
            <rFont val="Tahoma"/>
            <family val="2"/>
          </rPr>
          <t xml:space="preserve">
or better call it PLANNING ?</t>
        </r>
      </text>
    </comment>
    <comment ref="K13" authorId="1" shapeId="0">
      <text>
        <r>
          <rPr>
            <b/>
            <sz val="11"/>
            <color indexed="81"/>
            <rFont val="Tahoma"/>
            <family val="2"/>
          </rPr>
          <t>Weights:</t>
        </r>
        <r>
          <rPr>
            <sz val="11"/>
            <color indexed="81"/>
            <rFont val="Tahoma"/>
            <family val="2"/>
          </rPr>
          <t xml:space="preserve">
</t>
        </r>
        <r>
          <rPr>
            <u/>
            <sz val="11"/>
            <color indexed="81"/>
            <rFont val="Tahoma"/>
            <family val="2"/>
          </rPr>
          <t>Criteria weights</t>
        </r>
        <r>
          <rPr>
            <sz val="11"/>
            <color indexed="81"/>
            <rFont val="Tahoma"/>
            <family val="2"/>
          </rPr>
          <t xml:space="preserve"> must be 100% per characteristics sections.
</t>
        </r>
        <r>
          <rPr>
            <u/>
            <sz val="11"/>
            <color indexed="81"/>
            <rFont val="Tahoma"/>
            <family val="2"/>
          </rPr>
          <t xml:space="preserve">Characteristics weights </t>
        </r>
        <r>
          <rPr>
            <sz val="11"/>
            <color indexed="81"/>
            <rFont val="Tahoma"/>
            <family val="2"/>
          </rPr>
          <t>must be 100% in total.</t>
        </r>
      </text>
    </comment>
    <comment ref="N13" authorId="0" shapeId="0">
      <text>
        <r>
          <rPr>
            <b/>
            <sz val="10"/>
            <color indexed="81"/>
            <rFont val="Tahoma"/>
            <family val="2"/>
          </rPr>
          <t>amarxm:</t>
        </r>
        <r>
          <rPr>
            <sz val="10"/>
            <color indexed="81"/>
            <rFont val="Tahoma"/>
            <family val="2"/>
          </rPr>
          <t xml:space="preserve">
GREEN = Required
GREY = Not required</t>
        </r>
      </text>
    </comment>
    <comment ref="J14" authorId="1" shapeId="0">
      <text>
        <r>
          <rPr>
            <b/>
            <sz val="10"/>
            <color indexed="81"/>
            <rFont val="Tahoma"/>
            <family val="2"/>
          </rPr>
          <t>Characteristics rate:</t>
        </r>
        <r>
          <rPr>
            <sz val="10"/>
            <color indexed="81"/>
            <rFont val="Tahoma"/>
            <family val="2"/>
          </rPr>
          <t xml:space="preserve">
Sum of weighted scores BEFORE applying CHARACTERISTICS weight.
= average score per characteristics</t>
        </r>
      </text>
    </comment>
    <comment ref="L14" authorId="1" shapeId="0">
      <text>
        <r>
          <rPr>
            <b/>
            <sz val="10"/>
            <color indexed="81"/>
            <rFont val="Tahoma"/>
            <family val="2"/>
          </rPr>
          <t>Criteria score checksum:</t>
        </r>
        <r>
          <rPr>
            <sz val="10"/>
            <color indexed="81"/>
            <rFont val="Tahoma"/>
            <family val="2"/>
          </rPr>
          <t xml:space="preserve">
Sum of weighted scores AFTER applying CRITERIAS weight.
Same as characteristics rate (when total weights = 100%)
</t>
        </r>
      </text>
    </comment>
    <comment ref="M14" authorId="1" shapeId="0">
      <text>
        <r>
          <rPr>
            <b/>
            <sz val="10"/>
            <color indexed="81"/>
            <rFont val="Tahoma"/>
            <family val="2"/>
          </rPr>
          <t>Characteristics score:</t>
        </r>
        <r>
          <rPr>
            <sz val="10"/>
            <color indexed="81"/>
            <rFont val="Tahoma"/>
            <family val="2"/>
          </rPr>
          <t xml:space="preserve">
Sum of weighted scores AFTER applying characteristics weight.
= characteristics score subtotal.</t>
        </r>
      </text>
    </comment>
    <comment ref="N14" authorId="0" shapeId="0">
      <text>
        <r>
          <rPr>
            <b/>
            <sz val="10"/>
            <color indexed="81"/>
            <rFont val="Tahoma"/>
            <family val="2"/>
          </rPr>
          <t>amarxm:</t>
        </r>
        <r>
          <rPr>
            <sz val="10"/>
            <color indexed="81"/>
            <rFont val="Tahoma"/>
            <family val="2"/>
          </rPr>
          <t xml:space="preserve">
This cell contains a {matrix} formula. Press CTRL-SHIFT-ENTER when editing!</t>
        </r>
      </text>
    </comment>
    <comment ref="N15" authorId="0" shapeId="0">
      <text>
        <r>
          <rPr>
            <b/>
            <sz val="10"/>
            <color indexed="81"/>
            <rFont val="Tahoma"/>
            <family val="2"/>
          </rPr>
          <t>amarxm:</t>
        </r>
        <r>
          <rPr>
            <sz val="10"/>
            <color indexed="81"/>
            <rFont val="Tahoma"/>
            <family val="2"/>
          </rPr>
          <t xml:space="preserve">
0 = Default PM deliverable</t>
        </r>
      </text>
    </comment>
    <comment ref="N30" authorId="0" shapeId="0">
      <text>
        <r>
          <rPr>
            <b/>
            <sz val="8"/>
            <color indexed="81"/>
            <rFont val="Tahoma"/>
            <family val="2"/>
          </rPr>
          <t>amarxm:</t>
        </r>
        <r>
          <rPr>
            <sz val="8"/>
            <color indexed="81"/>
            <rFont val="Tahoma"/>
            <family val="2"/>
          </rPr>
          <t xml:space="preserve">
This cell contains a {matrix} formula. Press CTRL-SHIFT-ENTER when editing!</t>
        </r>
      </text>
    </comment>
    <comment ref="N46" authorId="0" shapeId="0">
      <text>
        <r>
          <rPr>
            <b/>
            <sz val="8"/>
            <color indexed="81"/>
            <rFont val="Tahoma"/>
            <family val="2"/>
          </rPr>
          <t>amarxm:</t>
        </r>
        <r>
          <rPr>
            <sz val="8"/>
            <color indexed="81"/>
            <rFont val="Tahoma"/>
            <family val="2"/>
          </rPr>
          <t xml:space="preserve">
This cell contains a {matrix} formula. Press CTRL-SHIFT-ENTER when editing!</t>
        </r>
      </text>
    </comment>
    <comment ref="N62" authorId="0" shapeId="0">
      <text>
        <r>
          <rPr>
            <b/>
            <sz val="8"/>
            <color indexed="81"/>
            <rFont val="Tahoma"/>
            <family val="2"/>
          </rPr>
          <t>amarxm:</t>
        </r>
        <r>
          <rPr>
            <sz val="8"/>
            <color indexed="81"/>
            <rFont val="Tahoma"/>
            <family val="2"/>
          </rPr>
          <t xml:space="preserve">
This cell contains a {matrix} formula. Press CTRL-SHIFT-ENTER when editing!</t>
        </r>
      </text>
    </comment>
    <comment ref="N78" authorId="0" shapeId="0">
      <text>
        <r>
          <rPr>
            <b/>
            <sz val="8"/>
            <color indexed="81"/>
            <rFont val="Tahoma"/>
            <family val="2"/>
          </rPr>
          <t>amarxm:</t>
        </r>
        <r>
          <rPr>
            <sz val="8"/>
            <color indexed="81"/>
            <rFont val="Tahoma"/>
            <family val="2"/>
          </rPr>
          <t xml:space="preserve">
This cell contains a {matrix} formula. Press CTRL-SHIFT-ENTER when editing!</t>
        </r>
      </text>
    </comment>
    <comment ref="N94" authorId="0" shapeId="0">
      <text>
        <r>
          <rPr>
            <b/>
            <sz val="8"/>
            <color indexed="81"/>
            <rFont val="Tahoma"/>
            <family val="2"/>
          </rPr>
          <t>amarxm:</t>
        </r>
        <r>
          <rPr>
            <sz val="8"/>
            <color indexed="81"/>
            <rFont val="Tahoma"/>
            <family val="2"/>
          </rPr>
          <t xml:space="preserve">
This cell contains a {matrix} formula. Press CTRL-SHIFT-ENTER when editing!</t>
        </r>
      </text>
    </comment>
    <comment ref="N110" authorId="0" shapeId="0">
      <text>
        <r>
          <rPr>
            <b/>
            <sz val="8"/>
            <color indexed="81"/>
            <rFont val="Tahoma"/>
            <family val="2"/>
          </rPr>
          <t>amarxm:</t>
        </r>
        <r>
          <rPr>
            <sz val="8"/>
            <color indexed="81"/>
            <rFont val="Tahoma"/>
            <family val="2"/>
          </rPr>
          <t xml:space="preserve">
This cell contains a {matrix} formula. Press CTRL-SHIFT-ENTER when editing!</t>
        </r>
      </text>
    </comment>
  </commentList>
</comments>
</file>

<file path=xl/sharedStrings.xml><?xml version="1.0" encoding="utf-8"?>
<sst xmlns="http://schemas.openxmlformats.org/spreadsheetml/2006/main" count="322" uniqueCount="179">
  <si>
    <t>Scale</t>
  </si>
  <si>
    <t>Customer</t>
  </si>
  <si>
    <t>Scope</t>
  </si>
  <si>
    <t>Date Driven</t>
  </si>
  <si>
    <t>Priority</t>
  </si>
  <si>
    <t>Funding</t>
  </si>
  <si>
    <t>PM Familiarity</t>
  </si>
  <si>
    <t>External Groups</t>
  </si>
  <si>
    <t>Sponsor</t>
  </si>
  <si>
    <t>Project Team</t>
  </si>
  <si>
    <t>Project Members</t>
  </si>
  <si>
    <t>Duration</t>
  </si>
  <si>
    <t>Mandated</t>
  </si>
  <si>
    <t>Internal Effort</t>
  </si>
  <si>
    <t>Schedule</t>
  </si>
  <si>
    <t>Program</t>
  </si>
  <si>
    <t>Group Familiarity</t>
  </si>
  <si>
    <t>Risk</t>
  </si>
  <si>
    <t>Technology</t>
  </si>
  <si>
    <t>1 = Completely
3 = Mostly
5 = To some Extent
7 = no</t>
  </si>
  <si>
    <t>1 = Resources Available
3 = Minimal Resource Constraints
5 = Some Resource constraints
7 = Serious Resource Constraints</t>
  </si>
  <si>
    <t>Project Manager</t>
  </si>
  <si>
    <t>1 = &lt; 1 Month 
3 =  1-6 Months 
5 = 7-12 Months 
7  = 12+ Months</t>
  </si>
  <si>
    <t>1 = No
7 = Yes</t>
  </si>
  <si>
    <t>How attainable is the due date</t>
  </si>
  <si>
    <t>Attainability</t>
  </si>
  <si>
    <t>Geography</t>
  </si>
  <si>
    <t>Resources</t>
  </si>
  <si>
    <t>Business Areas</t>
  </si>
  <si>
    <t>How many external groups are involved 
(vendors, contractors, etc.)</t>
  </si>
  <si>
    <t xml:space="preserve">Are necessary staff available </t>
  </si>
  <si>
    <t>How much is an end/due date emphasized</t>
  </si>
  <si>
    <t>What priority was agreed upon by sponsor, requestor, and IT project governance</t>
  </si>
  <si>
    <t>What is the number of required hours (IT and functional)</t>
  </si>
  <si>
    <t>Is necessary funding available</t>
  </si>
  <si>
    <t>Pre-existing Assets</t>
  </si>
  <si>
    <t>Business Processes</t>
  </si>
  <si>
    <t xml:space="preserve">1 = 1 to 50 
3 = 51 to 100 
5 = 101 to 500 
7 =  501 + </t>
  </si>
  <si>
    <t>Has a project manager been selected that has experience managing this type of work</t>
  </si>
  <si>
    <t>1 = Expert
3 = Moderate experience
5 = Minimal experience
7 = No experience</t>
  </si>
  <si>
    <t>1 =  None                                  3 = Low 
5 = Medium
7 = High</t>
  </si>
  <si>
    <t>1 = Core
3 = Somewhat 
5 = Not really
7 = Not at all</t>
  </si>
  <si>
    <t>1 =  &lt;  200 hrs
3 = 200 to 999 hrs
5 = 1000 to  2499 hrs
7 - 2500+ hrs</t>
  </si>
  <si>
    <t>1 = &lt;$100K
3 = &gt;=$100K
5 = &gt;=$500K 
7 = &gt;=$2M</t>
  </si>
  <si>
    <t>Concurrent</t>
  </si>
  <si>
    <t>1 = Internal
7 = External or Both</t>
  </si>
  <si>
    <t>Is the primary beneficiary internal to the initiative sponsor or external</t>
  </si>
  <si>
    <t>What is the expected level of impact to business operations</t>
  </si>
  <si>
    <t>Is the initiative within the core functions of the group/team (or a new venture or skill set)</t>
  </si>
  <si>
    <t xml:space="preserve">Where are the participants in the initiative located
</t>
  </si>
  <si>
    <t>Is the infrastructure in place to support the initiative (hardware, software, tools, etc.)</t>
  </si>
  <si>
    <t xml:space="preserve">Is the initiative legally required </t>
  </si>
  <si>
    <t>User Base</t>
  </si>
  <si>
    <t>Operational Impact</t>
  </si>
  <si>
    <t xml:space="preserve">Are there high-level experienced employees expected to participate on the team  </t>
  </si>
  <si>
    <t>1 = None
4 = 1 to 2
7 = 3+</t>
  </si>
  <si>
    <t xml:space="preserve">1 = Same location
3 = Same country
5 = Regional
7 = Global  </t>
  </si>
  <si>
    <t>Cost Estimate</t>
  </si>
  <si>
    <t>1 = Documented and followed
3 = Not documented simple process 
5 = Not documented moderate process
7 = Not documented complex process</t>
  </si>
  <si>
    <t>Can this initiative be completed with current skillsets</t>
  </si>
  <si>
    <t>Skills</t>
  </si>
  <si>
    <t>Corporate Financial Statements</t>
  </si>
  <si>
    <t>How standard is the technology to be used/implemented</t>
  </si>
  <si>
    <t>1 = JCI Standard
3 = Industry Standard
5 = Non-standard
7 = New</t>
  </si>
  <si>
    <t>Experience</t>
  </si>
  <si>
    <t>Has an intitative like this been done successfully within the org before</t>
  </si>
  <si>
    <t xml:space="preserve">1 = No 
7 = Yes 
</t>
  </si>
  <si>
    <t>M</t>
  </si>
  <si>
    <t>R</t>
  </si>
  <si>
    <t>O</t>
  </si>
  <si>
    <t>X</t>
  </si>
  <si>
    <t>Initiation</t>
  </si>
  <si>
    <t>Proposal</t>
  </si>
  <si>
    <t>Charter</t>
  </si>
  <si>
    <t>SOR</t>
  </si>
  <si>
    <t>Budget</t>
  </si>
  <si>
    <t>Issues</t>
  </si>
  <si>
    <t>Change</t>
  </si>
  <si>
    <t>Communication</t>
  </si>
  <si>
    <t>Status</t>
  </si>
  <si>
    <t>CAR</t>
  </si>
  <si>
    <t>SOW</t>
  </si>
  <si>
    <t>Does this initiative require multiple separate intiatives to complete</t>
  </si>
  <si>
    <t>Design</t>
  </si>
  <si>
    <t xml:space="preserve">Is this project part of an existing program - is success (time, cost, scope) hinged on other groups/initiatives </t>
  </si>
  <si>
    <t>Dependencies</t>
  </si>
  <si>
    <t xml:space="preserve">What is the number of business areas  impacted by the initiative - how many stakeholder groups (sets of requirements) </t>
  </si>
  <si>
    <t>Implementation</t>
  </si>
  <si>
    <t>Closure - LL</t>
  </si>
  <si>
    <t>Responsibility</t>
  </si>
  <si>
    <t>1 = Low
4 = Med
7 = High</t>
  </si>
  <si>
    <t>Team Survey</t>
  </si>
  <si>
    <t>Cust Survey</t>
  </si>
  <si>
    <t>AS-IS/TO BE</t>
  </si>
  <si>
    <t>1 = Staff
3 = Manager
5 = Director
7 = Executive (VP+)</t>
  </si>
  <si>
    <t xml:space="preserve">Are the existing business processes documented? </t>
  </si>
  <si>
    <t>1 = Flexible  date
4 = Date driven
7 = Critical date</t>
  </si>
  <si>
    <t>1 = Low priority
3 = Moderate priority
5 = High priority       
7 = Critical</t>
  </si>
  <si>
    <t>Concept Arch</t>
  </si>
  <si>
    <t>Pos.</t>
  </si>
  <si>
    <t>Criteria</t>
  </si>
  <si>
    <t>Weight</t>
  </si>
  <si>
    <t>Rating</t>
  </si>
  <si>
    <t>Score result</t>
  </si>
  <si>
    <t>Comments / Weighted Score</t>
  </si>
  <si>
    <t xml:space="preserve">Criteria weights must be 100% in total!  </t>
  </si>
  <si>
    <t/>
  </si>
  <si>
    <t>Project Name</t>
  </si>
  <si>
    <t>Current Phase</t>
  </si>
  <si>
    <t>Reserve 2</t>
  </si>
  <si>
    <t>Reserve 1</t>
  </si>
  <si>
    <t>Project Optima complexity assessment</t>
  </si>
  <si>
    <t>Last Updated, By</t>
  </si>
  <si>
    <t>John Doe</t>
  </si>
  <si>
    <t>Criteria description</t>
  </si>
  <si>
    <t>How many employees are impacted by the initiative deliverables (level of employees)</t>
  </si>
  <si>
    <t xml:space="preserve">How many separate teams  (based on reporting manager) are expected to participate in the initiative - both IT and Functional  -  </t>
  </si>
  <si>
    <t>1 = Easily attainable date
4 = Possible date
7 = Unrealistic date</t>
  </si>
  <si>
    <t>How long is the initiative expected to take (The longer the duration of the project the more complex it is)</t>
  </si>
  <si>
    <t>1 = 1  
2 = 2
3 = 3 to 4
5 = 5 to 9
7 = 10+</t>
  </si>
  <si>
    <t>1  = 1 Team
2 = 2-3 Teams
3 = 4-6 Teams
5 = 6-10 Teams
7 =  11+ Teams</t>
  </si>
  <si>
    <t xml:space="preserve">1 = Completed on time, on budget, 
      to desired quality  
3 = Completed  
5 = Failed or Abandoned
7 = Never Done </t>
  </si>
  <si>
    <t>Total score</t>
  </si>
  <si>
    <t>1 = Full funding available or 
      funding not required
3 = Most of funding available
5 = Partial funding available
7 = Funding questionable</t>
  </si>
  <si>
    <t>Instructions</t>
  </si>
  <si>
    <t>M - Mandatory question to be answered during specific phase</t>
  </si>
  <si>
    <t>R - Recommended question to be answered during specific phase</t>
  </si>
  <si>
    <t>O - Optional question to be answered during specific phase</t>
  </si>
  <si>
    <t xml:space="preserve">For each question, use the scale in Column I to provide the Rating in Column J.  Although all values from 1 to 7 are available for all questions, use only those suggested in Column I for each question.  This will help insure consistency of results.  </t>
  </si>
  <si>
    <t xml:space="preserve">Each Category (See Column K Rows 4 through 10) can have an overall score between 0 and 7.  This will help the PM, sponsor, stakeholders and project team to understand where the project complexity lies.  </t>
  </si>
  <si>
    <t>Reserve 1 and Reserve 2 are expansion categories - Not required/used at this time</t>
  </si>
  <si>
    <t xml:space="preserve">Make sure all values in Column J (Ratings) are equal to '0' before you fill out the Complexity Assessment for the first time  (during Initiation) for the project.  This will reset all values and required deliverables.  </t>
  </si>
  <si>
    <t>Quick filter buttons:</t>
  </si>
  <si>
    <t>MANDATORY : Filters all 'M' and 'X' values for the current phase</t>
  </si>
  <si>
    <t>X - Always shown (e.g. Section headers or mandatory question in earlier phase)</t>
  </si>
  <si>
    <t>RECOMMENDED : Filters all 'M' , 'R' and 'X' values for the current phase</t>
  </si>
  <si>
    <r>
      <t xml:space="preserve">The Complexity Assessment should be filled out during </t>
    </r>
    <r>
      <rPr>
        <b/>
        <u/>
        <sz val="9"/>
        <rFont val="Arial"/>
        <family val="2"/>
      </rPr>
      <t>each</t>
    </r>
    <r>
      <rPr>
        <b/>
        <sz val="9"/>
        <rFont val="Arial"/>
        <family val="2"/>
      </rPr>
      <t xml:space="preserve"> Initiation, Proposal and Design phases (see Column B, C and D). </t>
    </r>
  </si>
  <si>
    <t>Set the Current Phase value to benefit from the quick filter buttons.</t>
  </si>
  <si>
    <r>
      <t xml:space="preserve">Your required deliverables will be shaded in </t>
    </r>
    <r>
      <rPr>
        <b/>
        <sz val="9"/>
        <rFont val="Arial"/>
        <family val="2"/>
      </rPr>
      <t>Row 13 Columns N through AF</t>
    </r>
  </si>
  <si>
    <r>
      <rPr>
        <b/>
        <sz val="9"/>
        <color theme="1" tint="0.499984740745262"/>
        <rFont val="Arial"/>
        <family val="2"/>
      </rPr>
      <t>GREY</t>
    </r>
    <r>
      <rPr>
        <sz val="9"/>
        <rFont val="Arial"/>
        <family val="2"/>
      </rPr>
      <t xml:space="preserve"> - Optional PM deliverable (usually not needed).</t>
    </r>
  </si>
  <si>
    <r>
      <rPr>
        <b/>
        <sz val="9"/>
        <color rgb="FF00B050"/>
        <rFont val="Arial"/>
        <family val="2"/>
      </rPr>
      <t>GREEN</t>
    </r>
    <r>
      <rPr>
        <sz val="9"/>
        <rFont val="Arial"/>
        <family val="2"/>
      </rPr>
      <t xml:space="preserve"> - Recommended/mandatory PM deliverable (usually do not ignore).</t>
    </r>
  </si>
  <si>
    <t>My project name</t>
  </si>
  <si>
    <t>Score calculation &lt; 3 (Simple project)</t>
  </si>
  <si>
    <t>Score calculation &gt;= 3 (Medium project)</t>
  </si>
  <si>
    <t>Score calculation &gt;= 6 (Complex project)</t>
  </si>
  <si>
    <t>Characteristic</t>
  </si>
  <si>
    <t>Section header</t>
  </si>
  <si>
    <t>Final score (only valid if ALL(!) questions have been rated, otherwise score is too low!)</t>
  </si>
  <si>
    <t>INITIATION - Applies filter to column B</t>
  </si>
  <si>
    <t>PROPOSAL - Applies filter to column C</t>
  </si>
  <si>
    <t>DESIGN - Applies filter to column D</t>
  </si>
  <si>
    <t>Error occured</t>
  </si>
  <si>
    <r>
      <t xml:space="preserve">Static data only. </t>
    </r>
    <r>
      <rPr>
        <u/>
        <sz val="9"/>
        <rFont val="Arial"/>
        <family val="2"/>
      </rPr>
      <t>NEVER(!)</t>
    </r>
    <r>
      <rPr>
        <sz val="9"/>
        <rFont val="Arial"/>
        <family val="2"/>
      </rPr>
      <t xml:space="preserve"> change those values, unless authorized by PMO.</t>
    </r>
  </si>
  <si>
    <t>Column/row labels</t>
  </si>
  <si>
    <t>Cell styles used in DATA ENTRY sheet.</t>
  </si>
  <si>
    <t>True DATA ENTRY field. Only enter values here!</t>
  </si>
  <si>
    <t>Section subtotals, calculated. (scores &amp; weights)</t>
  </si>
  <si>
    <t>Section rating, calculated. (meaning of icons see further below)</t>
  </si>
  <si>
    <t>Score subtotals, calculated. (per question)</t>
  </si>
  <si>
    <t>Error in worksheet, calculated. (Usually weights don't sum up to 100%)</t>
  </si>
  <si>
    <t>RESET FILTER: Clears the current filter (= shows all questions)</t>
  </si>
  <si>
    <t>Scoring results:</t>
  </si>
  <si>
    <t>1-7 - questions answered</t>
  </si>
  <si>
    <t>0 - No questions yet answered (as long as there are any 0, scoring results are not valid)</t>
  </si>
  <si>
    <t>Not all questions answered yet</t>
  </si>
  <si>
    <t>NEVER REMOVE ENTIRE ROWS OR COLUMNS!!!</t>
  </si>
  <si>
    <t>What is  expected cost of the initiative (capital + expense + lease +...)</t>
  </si>
  <si>
    <t xml:space="preserve">1 = 100% of assets 
7 = &lt;100% of assets
</t>
  </si>
  <si>
    <t>What is the probability that &gt;$50K worth of JCI assets or revenues could be negatively impacted by the initiative deliverables if they are of poor quality i.o.w. what is the probability that we have SOX controls?</t>
  </si>
  <si>
    <t>What level is the sponsor of the initiative. Who is the person making final decisions? 
(The  higher the  level the more complex the organizational structure.)</t>
  </si>
  <si>
    <t>05.11.2010 14:05:27, amarxm</t>
  </si>
  <si>
    <t>To avoid changing formulas or other important data, use the PROTECT WORKSHEET function  from the</t>
  </si>
  <si>
    <t xml:space="preserve">REVIEW tab to limit data entry to the DATA ENTRY fields only. When protection is on, the grouping features </t>
  </si>
  <si>
    <t>[1],[2],[+],[-] and quick filter functions are blocked as well. Thus, please protect/unprotect manually on demand.</t>
  </si>
  <si>
    <t>Select UNLOCKED CELL only.</t>
  </si>
  <si>
    <t>To move content, select only cells with constants and copy/paste as values.</t>
  </si>
  <si>
    <t>Using row &amp; column groups</t>
  </si>
  <si>
    <t>To recover formats and formulas copy from intact section and paste as formats/formulas.</t>
  </si>
  <si>
    <t>HSA</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</si>
</sst>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_-* #,##0\ _€_-;\-* #,##0\ _€_-;_-* &quot;-&quot;\ _€_-;_-@_-"/>
    <numFmt numFmtId="165" formatCode="_-* #,##0.00\ &quot;€&quot;_-;\-* #,##0.00\ &quot;€&quot;_-;_-* &quot;-&quot;??\ &quot;€&quot;_-;_-@_-"/>
    <numFmt numFmtId="166" formatCode="_-* #,##0.00\ _€_-;\-* #,##0.00\ _€_-;_-* &quot;-&quot;??\ _€_-;_-@_-"/>
    <numFmt numFmtId="167" formatCode="#,##0\ _€"/>
    <numFmt numFmtId="168" formatCode="_-* #,##0.000\ _€_-;\-* #,##0.000\ _€_-;_-* &quot;-&quot;??\ _€_-;_-@_-"/>
    <numFmt numFmtId="169" formatCode="&quot;Monthly incident reporting - &quot;[$-409]mmmm\-yyyy;@"/>
    <numFmt numFmtId="170" formatCode="[$-409]ddd\ dd/mm/yy\ hh:mm:ss"/>
  </numFmts>
  <fonts count="5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color indexed="81"/>
      <name val="Tahoma"/>
      <family val="2"/>
    </font>
    <font>
      <b/>
      <sz val="8"/>
      <color indexed="81"/>
      <name val="Tahoma"/>
      <family val="2"/>
    </font>
    <font>
      <b/>
      <sz val="10"/>
      <name val="Arial"/>
      <family val="2"/>
    </font>
    <font>
      <sz val="10"/>
      <name val="Arial"/>
      <family val="2"/>
    </font>
    <font>
      <b/>
      <sz val="14"/>
      <color theme="0"/>
      <name val="Calibri"/>
      <family val="2"/>
      <scheme val="minor"/>
    </font>
    <font>
      <b/>
      <sz val="11"/>
      <color indexed="81"/>
      <name val="Tahoma"/>
      <family val="2"/>
    </font>
    <font>
      <sz val="11"/>
      <color indexed="81"/>
      <name val="Tahoma"/>
      <family val="2"/>
    </font>
    <font>
      <u/>
      <sz val="11"/>
      <color indexed="81"/>
      <name val="Tahoma"/>
      <family val="2"/>
    </font>
    <font>
      <b/>
      <sz val="11"/>
      <color theme="3"/>
      <name val="Calibri"/>
      <family val="2"/>
      <scheme val="minor"/>
    </font>
    <font>
      <sz val="11"/>
      <color rgb="FF3F3F76"/>
      <name val="Calibri"/>
      <family val="2"/>
      <scheme val="minor"/>
    </font>
    <font>
      <b/>
      <sz val="11"/>
      <color rgb="FFFA7D00"/>
      <name val="Calibri"/>
      <family val="2"/>
      <scheme val="minor"/>
    </font>
    <font>
      <sz val="10"/>
      <color theme="0"/>
      <name val="Arial"/>
      <family val="2"/>
    </font>
    <font>
      <sz val="10"/>
      <color rgb="FF00B050"/>
      <name val="Arial"/>
      <family val="2"/>
    </font>
    <font>
      <b/>
      <sz val="12"/>
      <color rgb="FFFA7D00"/>
      <name val="Calibri"/>
      <family val="2"/>
      <scheme val="minor"/>
    </font>
    <font>
      <i/>
      <sz val="11"/>
      <color rgb="FF7F7F7F"/>
      <name val="Calibri"/>
      <family val="2"/>
      <scheme val="minor"/>
    </font>
    <font>
      <sz val="10"/>
      <color theme="1"/>
      <name val="Calibri"/>
      <family val="2"/>
      <scheme val="minor"/>
    </font>
    <font>
      <b/>
      <sz val="10"/>
      <color theme="1"/>
      <name val="Calibri"/>
      <family val="2"/>
      <scheme val="minor"/>
    </font>
    <font>
      <b/>
      <sz val="10"/>
      <color theme="3"/>
      <name val="Calibri"/>
      <family val="2"/>
      <scheme val="minor"/>
    </font>
    <font>
      <sz val="10"/>
      <color rgb="FF3F3F76"/>
      <name val="Calibri"/>
      <family val="2"/>
      <scheme val="minor"/>
    </font>
    <font>
      <b/>
      <sz val="10"/>
      <color rgb="FFFA7D00"/>
      <name val="Calibri"/>
      <family val="2"/>
      <scheme val="minor"/>
    </font>
    <font>
      <b/>
      <sz val="10"/>
      <color theme="0"/>
      <name val="Calibri"/>
      <family val="2"/>
      <scheme val="minor"/>
    </font>
    <font>
      <sz val="10"/>
      <color theme="0"/>
      <name val="Calibri"/>
      <family val="2"/>
      <scheme val="minor"/>
    </font>
    <font>
      <b/>
      <sz val="10"/>
      <color rgb="FFFFFF99"/>
      <name val="Calibri"/>
      <family val="2"/>
      <scheme val="minor"/>
    </font>
    <font>
      <b/>
      <sz val="10"/>
      <color theme="0" tint="-0.499984740745262"/>
      <name val="Calibri"/>
      <family val="2"/>
      <scheme val="minor"/>
    </font>
    <font>
      <sz val="10"/>
      <color theme="0" tint="-0.14999847407452621"/>
      <name val="Calibri"/>
      <family val="2"/>
      <scheme val="minor"/>
    </font>
    <font>
      <b/>
      <sz val="10"/>
      <color indexed="81"/>
      <name val="Tahoma"/>
      <family val="2"/>
    </font>
    <font>
      <sz val="10"/>
      <color indexed="81"/>
      <name val="Tahoma"/>
      <family val="2"/>
    </font>
    <font>
      <b/>
      <sz val="12"/>
      <color theme="1"/>
      <name val="Calibri"/>
      <family val="2"/>
      <scheme val="minor"/>
    </font>
    <font>
      <b/>
      <sz val="14"/>
      <color rgb="FFFA7D00"/>
      <name val="Calibri"/>
      <family val="2"/>
      <scheme val="minor"/>
    </font>
    <font>
      <b/>
      <sz val="10"/>
      <color theme="0" tint="-0.249977111117893"/>
      <name val="Calibri"/>
      <family val="2"/>
      <scheme val="minor"/>
    </font>
    <font>
      <b/>
      <sz val="12"/>
      <name val="Calibri"/>
      <family val="2"/>
      <scheme val="minor"/>
    </font>
    <font>
      <i/>
      <sz val="10"/>
      <color rgb="FF7F7F7F"/>
      <name val="Calibri"/>
      <family val="2"/>
      <scheme val="minor"/>
    </font>
    <font>
      <i/>
      <sz val="9"/>
      <color rgb="FF7F7F7F"/>
      <name val="Calibri"/>
      <family val="2"/>
      <scheme val="minor"/>
    </font>
    <font>
      <sz val="12"/>
      <color rgb="FF00B050"/>
      <name val="Calibri"/>
      <family val="2"/>
      <scheme val="minor"/>
    </font>
    <font>
      <u/>
      <sz val="10"/>
      <color theme="10"/>
      <name val="Arial"/>
      <family val="2"/>
    </font>
    <font>
      <b/>
      <i/>
      <sz val="11"/>
      <color theme="1"/>
      <name val="Calibri"/>
      <family val="2"/>
      <scheme val="minor"/>
    </font>
    <font>
      <sz val="11"/>
      <color rgb="FF002060"/>
      <name val="Calibri"/>
      <family val="2"/>
      <scheme val="minor"/>
    </font>
    <font>
      <sz val="11"/>
      <color theme="3"/>
      <name val="Calibri"/>
      <family val="2"/>
      <scheme val="minor"/>
    </font>
    <font>
      <b/>
      <sz val="9"/>
      <name val="Arial"/>
      <family val="2"/>
    </font>
    <font>
      <sz val="9"/>
      <name val="Arial"/>
      <family val="2"/>
    </font>
    <font>
      <b/>
      <u/>
      <sz val="9"/>
      <name val="Arial"/>
      <family val="2"/>
    </font>
    <font>
      <sz val="8"/>
      <name val="Tahoma"/>
      <family val="2"/>
    </font>
    <font>
      <i/>
      <sz val="11"/>
      <color theme="0"/>
      <name val="Calibri"/>
      <family val="2"/>
      <scheme val="minor"/>
    </font>
    <font>
      <b/>
      <sz val="9"/>
      <color rgb="FF00B050"/>
      <name val="Arial"/>
      <family val="2"/>
    </font>
    <font>
      <b/>
      <sz val="9"/>
      <color theme="1" tint="0.499984740745262"/>
      <name val="Arial"/>
      <family val="2"/>
    </font>
    <font>
      <u/>
      <sz val="9"/>
      <name val="Arial"/>
      <family val="2"/>
    </font>
    <font>
      <sz val="10"/>
      <color theme="0" tint="-0.499984740745262"/>
      <name val="Calibri"/>
      <family val="2"/>
      <scheme val="minor"/>
    </font>
    <font>
      <b/>
      <sz val="12"/>
      <color theme="0"/>
      <name val="Arial"/>
      <family val="2"/>
    </font>
    <font>
      <b/>
      <sz val="13"/>
      <color theme="3"/>
      <name val="Calibri"/>
      <family val="2"/>
      <scheme val="minor"/>
    </font>
  </fonts>
  <fills count="11">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rgb="FFFFFF99"/>
        <bgColor indexed="64"/>
      </patternFill>
    </fill>
    <fill>
      <patternFill patternType="solid">
        <fgColor theme="3" tint="0.39997558519241921"/>
        <bgColor indexed="64"/>
      </patternFill>
    </fill>
    <fill>
      <patternFill patternType="solid">
        <fgColor theme="1"/>
        <bgColor indexed="64"/>
      </patternFill>
    </fill>
    <fill>
      <patternFill patternType="solid">
        <fgColor rgb="FFFFCC99"/>
      </patternFill>
    </fill>
    <fill>
      <patternFill patternType="solid">
        <fgColor rgb="FFF2F2F2"/>
      </patternFill>
    </fill>
    <fill>
      <patternFill patternType="solid">
        <fgColor theme="0"/>
        <bgColor indexed="64"/>
      </patternFill>
    </fill>
    <fill>
      <patternFill patternType="solid">
        <fgColor theme="6" tint="0.39997558519241921"/>
        <bgColor indexed="64"/>
      </patternFill>
    </fill>
  </fills>
  <borders count="18">
    <border>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style="thin">
        <color indexed="64"/>
      </right>
      <top/>
      <bottom/>
      <diagonal/>
    </border>
    <border>
      <left/>
      <right/>
      <top style="thin">
        <color indexed="64"/>
      </top>
      <bottom style="dotted">
        <color indexed="64"/>
      </bottom>
      <diagonal/>
    </border>
    <border>
      <left/>
      <right/>
      <top style="thin">
        <color indexed="64"/>
      </top>
      <bottom/>
      <diagonal/>
    </border>
    <border>
      <left/>
      <right style="thin">
        <color indexed="64"/>
      </right>
      <top/>
      <bottom style="dotted">
        <color indexed="64"/>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7F7F7F"/>
      </left>
      <right style="medium">
        <color indexed="64"/>
      </right>
      <top style="medium">
        <color indexed="64"/>
      </top>
      <bottom style="medium">
        <color indexed="64"/>
      </bottom>
      <diagonal/>
    </border>
    <border>
      <left style="thin">
        <color rgb="FF7F7F7F"/>
      </left>
      <right/>
      <top style="thin">
        <color rgb="FF7F7F7F"/>
      </top>
      <bottom style="thin">
        <color rgb="FF7F7F7F"/>
      </bottom>
      <diagonal/>
    </border>
    <border>
      <left style="thin">
        <color indexed="64"/>
      </left>
      <right style="thin">
        <color indexed="64"/>
      </right>
      <top/>
      <bottom style="thin">
        <color indexed="64"/>
      </bottom>
      <diagonal/>
    </border>
    <border>
      <left/>
      <right style="thin">
        <color rgb="FF7F7F7F"/>
      </right>
      <top/>
      <bottom style="thin">
        <color rgb="FF7F7F7F"/>
      </bottom>
      <diagonal/>
    </border>
    <border>
      <left style="hair">
        <color indexed="64"/>
      </left>
      <right style="hair">
        <color indexed="64"/>
      </right>
      <top style="hair">
        <color indexed="64"/>
      </top>
      <bottom style="hair">
        <color indexed="64"/>
      </bottom>
      <diagonal/>
    </border>
    <border>
      <left style="hair">
        <color rgb="FF7F7F7F"/>
      </left>
      <right style="hair">
        <color rgb="FF7F7F7F"/>
      </right>
      <top style="hair">
        <color rgb="FF7F7F7F"/>
      </top>
      <bottom style="hair">
        <color rgb="FF7F7F7F"/>
      </bottom>
      <diagonal/>
    </border>
    <border>
      <left style="thin">
        <color rgb="FF7F7F7F"/>
      </left>
      <right style="thin">
        <color rgb="FF7F7F7F"/>
      </right>
      <top style="thin">
        <color rgb="FF7F7F7F"/>
      </top>
      <bottom/>
      <diagonal/>
    </border>
    <border>
      <left/>
      <right/>
      <top/>
      <bottom style="thick">
        <color theme="4" tint="0.499984740745262"/>
      </bottom>
      <diagonal/>
    </border>
  </borders>
  <cellStyleXfs count="23">
    <xf numFmtId="0" fontId="0" fillId="0" borderId="0"/>
    <xf numFmtId="9" fontId="4" fillId="0" borderId="0" applyFont="0" applyFill="0" applyBorder="0" applyAlignment="0" applyProtection="0"/>
    <xf numFmtId="0" fontId="3" fillId="0" borderId="0"/>
    <xf numFmtId="9" fontId="3" fillId="0" borderId="0" applyFont="0" applyFill="0" applyBorder="0" applyAlignment="0" applyProtection="0"/>
    <xf numFmtId="166" fontId="4" fillId="0" borderId="0" applyFont="0" applyFill="0" applyBorder="0" applyAlignment="0" applyProtection="0"/>
    <xf numFmtId="0" fontId="13" fillId="0" borderId="8" applyNumberFormat="0" applyFill="0" applyAlignment="0" applyProtection="0"/>
    <xf numFmtId="0" fontId="14" fillId="7" borderId="9" applyNumberFormat="0" applyAlignment="0">
      <protection locked="0"/>
    </xf>
    <xf numFmtId="0" fontId="15" fillId="8" borderId="9" applyNumberFormat="0" applyAlignment="0" applyProtection="0"/>
    <xf numFmtId="0" fontId="19" fillId="0" borderId="0" applyNumberFormat="0" applyFill="0" applyBorder="0" applyAlignment="0" applyProtection="0"/>
    <xf numFmtId="0" fontId="2" fillId="0" borderId="0"/>
    <xf numFmtId="0" fontId="9" fillId="6" borderId="0"/>
    <xf numFmtId="0" fontId="1" fillId="0" borderId="0"/>
    <xf numFmtId="0" fontId="8" fillId="0" borderId="0"/>
    <xf numFmtId="169" fontId="39" fillId="0" borderId="0" applyNumberFormat="0" applyFill="0" applyBorder="0" applyAlignment="0" applyProtection="0">
      <alignment vertical="top"/>
      <protection locked="0"/>
    </xf>
    <xf numFmtId="165" fontId="8" fillId="0" borderId="0" applyFont="0" applyFill="0" applyBorder="0" applyAlignment="0" applyProtection="0"/>
    <xf numFmtId="9" fontId="8" fillId="0" borderId="0" applyFont="0" applyFill="0" applyBorder="0" applyAlignment="0" applyProtection="0"/>
    <xf numFmtId="170" fontId="1" fillId="0" borderId="0" applyFont="0" applyFill="0" applyBorder="0" applyAlignment="0" applyProtection="0"/>
    <xf numFmtId="0" fontId="41" fillId="9" borderId="13" applyAlignment="0" applyProtection="0"/>
    <xf numFmtId="0" fontId="42" fillId="0" borderId="0" applyFill="0" applyBorder="0" applyAlignment="0"/>
    <xf numFmtId="0" fontId="40" fillId="10" borderId="0" applyFill="0" applyBorder="0">
      <alignment horizontal="right"/>
    </xf>
    <xf numFmtId="169" fontId="9" fillId="6" borderId="0" applyNumberFormat="0" applyBorder="0" applyProtection="0"/>
    <xf numFmtId="0" fontId="4" fillId="0" borderId="0"/>
    <xf numFmtId="0" fontId="53" fillId="0" borderId="17" applyNumberFormat="0" applyFill="0" applyAlignment="0" applyProtection="0"/>
  </cellStyleXfs>
  <cellXfs count="88">
    <xf numFmtId="0" fontId="0" fillId="0" borderId="0" xfId="0"/>
    <xf numFmtId="0" fontId="4" fillId="0" borderId="0" xfId="21"/>
    <xf numFmtId="0" fontId="4" fillId="0" borderId="0" xfId="21" applyAlignment="1">
      <alignment wrapText="1"/>
    </xf>
    <xf numFmtId="0" fontId="44" fillId="0" borderId="0" xfId="21" applyFont="1" applyAlignment="1">
      <alignment wrapText="1"/>
    </xf>
    <xf numFmtId="0" fontId="43" fillId="0" borderId="0" xfId="21" applyFont="1" applyAlignment="1">
      <alignment wrapText="1"/>
    </xf>
    <xf numFmtId="0" fontId="9" fillId="6" borderId="0" xfId="20" applyNumberFormat="1"/>
    <xf numFmtId="0" fontId="7" fillId="0" borderId="0" xfId="21" applyFont="1" applyAlignment="1">
      <alignment wrapText="1"/>
    </xf>
    <xf numFmtId="0" fontId="44" fillId="0" borderId="0" xfId="21" applyFont="1" applyAlignment="1">
      <alignment horizontal="left" wrapText="1" indent="1"/>
    </xf>
    <xf numFmtId="0" fontId="4" fillId="0" borderId="0" xfId="21" applyAlignment="1">
      <alignment horizontal="left" wrapText="1" indent="1"/>
    </xf>
    <xf numFmtId="166" fontId="15" fillId="8" borderId="16" xfId="7" applyNumberFormat="1" applyFont="1" applyBorder="1" applyAlignment="1">
      <alignment vertical="center"/>
    </xf>
    <xf numFmtId="166" fontId="15" fillId="3" borderId="10" xfId="7" applyNumberFormat="1" applyFont="1" applyFill="1" applyBorder="1" applyAlignment="1">
      <alignment vertical="top"/>
    </xf>
    <xf numFmtId="0" fontId="25" fillId="5" borderId="0" xfId="2" applyFont="1" applyFill="1" applyAlignment="1">
      <alignment horizontal="center" vertical="center" wrapText="1"/>
    </xf>
    <xf numFmtId="0" fontId="23" fillId="7" borderId="14" xfId="6" applyFont="1" applyBorder="1" applyAlignment="1">
      <alignment horizontal="center" vertical="top"/>
      <protection locked="0"/>
    </xf>
    <xf numFmtId="0" fontId="38" fillId="0" borderId="14" xfId="2" applyFont="1" applyBorder="1" applyAlignment="1">
      <alignment horizontal="center" vertical="center" wrapText="1"/>
    </xf>
    <xf numFmtId="0" fontId="24" fillId="8" borderId="14" xfId="7" applyNumberFormat="1" applyFont="1" applyBorder="1" applyAlignment="1">
      <alignment horizontal="center" vertical="top"/>
    </xf>
    <xf numFmtId="2" fontId="29" fillId="5" borderId="14" xfId="2" applyNumberFormat="1" applyFont="1" applyFill="1" applyBorder="1" applyAlignment="1">
      <alignment horizontal="center" vertical="center"/>
    </xf>
    <xf numFmtId="0" fontId="16" fillId="2" borderId="14" xfId="21" applyFont="1" applyFill="1" applyBorder="1" applyAlignment="1">
      <alignment horizontal="center" vertical="center"/>
    </xf>
    <xf numFmtId="0" fontId="32" fillId="4" borderId="14" xfId="2" applyFont="1" applyFill="1" applyBorder="1" applyAlignment="1">
      <alignment horizontal="center" vertical="center"/>
    </xf>
    <xf numFmtId="0" fontId="28" fillId="4" borderId="14" xfId="4" applyNumberFormat="1" applyFont="1" applyFill="1" applyBorder="1" applyAlignment="1">
      <alignment horizontal="center" vertical="center"/>
    </xf>
    <xf numFmtId="0" fontId="52" fillId="2" borderId="0" xfId="21" applyFont="1" applyFill="1" applyAlignment="1">
      <alignment wrapText="1"/>
    </xf>
    <xf numFmtId="0" fontId="20" fillId="0" borderId="0" xfId="2" applyFont="1" applyAlignment="1" applyProtection="1">
      <alignment horizontal="center"/>
    </xf>
    <xf numFmtId="0" fontId="21" fillId="0" borderId="0" xfId="2" applyFont="1" applyAlignment="1" applyProtection="1"/>
    <xf numFmtId="0" fontId="20" fillId="0" borderId="0" xfId="2" applyFont="1" applyAlignment="1" applyProtection="1"/>
    <xf numFmtId="0" fontId="20" fillId="0" borderId="0" xfId="2" applyFont="1" applyAlignment="1" applyProtection="1">
      <alignment vertical="top"/>
    </xf>
    <xf numFmtId="0" fontId="8" fillId="0" borderId="0" xfId="0" applyFont="1" applyAlignment="1" applyProtection="1"/>
    <xf numFmtId="9" fontId="8" fillId="0" borderId="0" xfId="1" applyFont="1" applyAlignment="1" applyProtection="1"/>
    <xf numFmtId="0" fontId="20" fillId="0" borderId="0" xfId="2" applyFont="1" applyBorder="1" applyAlignment="1" applyProtection="1">
      <alignment horizontal="center" vertical="center"/>
    </xf>
    <xf numFmtId="0" fontId="20" fillId="0" borderId="0" xfId="2" applyFont="1" applyAlignment="1" applyProtection="1">
      <alignment horizontal="center" vertical="center"/>
    </xf>
    <xf numFmtId="0" fontId="20" fillId="0" borderId="0" xfId="2" applyFont="1" applyBorder="1" applyAlignment="1" applyProtection="1"/>
    <xf numFmtId="2" fontId="35" fillId="3" borderId="3" xfId="2" applyNumberFormat="1" applyFont="1" applyFill="1" applyBorder="1" applyAlignment="1" applyProtection="1">
      <alignment horizontal="center" vertical="center"/>
    </xf>
    <xf numFmtId="166" fontId="33" fillId="3" borderId="10" xfId="7" applyNumberFormat="1" applyFont="1" applyFill="1" applyBorder="1" applyAlignment="1" applyProtection="1">
      <alignment vertical="top"/>
    </xf>
    <xf numFmtId="0" fontId="22" fillId="0" borderId="8" xfId="5" applyFont="1" applyAlignment="1" applyProtection="1"/>
    <xf numFmtId="0" fontId="26" fillId="0" borderId="0" xfId="2" quotePrefix="1" applyFont="1" applyAlignment="1" applyProtection="1"/>
    <xf numFmtId="0" fontId="19" fillId="0" borderId="0" xfId="8" applyAlignment="1" applyProtection="1">
      <alignment horizontal="center"/>
    </xf>
    <xf numFmtId="0" fontId="22" fillId="9" borderId="8" xfId="5" applyFont="1" applyFill="1" applyAlignment="1" applyProtection="1"/>
    <xf numFmtId="166" fontId="24" fillId="8" borderId="11" xfId="7" applyNumberFormat="1" applyFont="1" applyBorder="1" applyAlignment="1" applyProtection="1">
      <alignment vertical="top"/>
    </xf>
    <xf numFmtId="9" fontId="17" fillId="0" borderId="1" xfId="1" applyFont="1" applyBorder="1" applyAlignment="1" applyProtection="1">
      <alignment horizontal="center"/>
    </xf>
    <xf numFmtId="9" fontId="17" fillId="0" borderId="2" xfId="1" applyFont="1" applyBorder="1" applyAlignment="1" applyProtection="1">
      <alignment horizontal="center"/>
    </xf>
    <xf numFmtId="0" fontId="47" fillId="0" borderId="0" xfId="8" applyFont="1" applyAlignment="1" applyProtection="1">
      <alignment horizontal="left" vertical="center"/>
    </xf>
    <xf numFmtId="9" fontId="17" fillId="0" borderId="12" xfId="1" applyFont="1" applyBorder="1" applyAlignment="1" applyProtection="1">
      <alignment horizontal="center"/>
    </xf>
    <xf numFmtId="0" fontId="20" fillId="0" borderId="0" xfId="2" applyFont="1" applyAlignment="1" applyProtection="1">
      <alignment wrapText="1"/>
    </xf>
    <xf numFmtId="0" fontId="51" fillId="0" borderId="0" xfId="2" applyFont="1" applyAlignment="1" applyProtection="1"/>
    <xf numFmtId="9" fontId="37" fillId="0" borderId="0" xfId="8" applyNumberFormat="1" applyFont="1" applyAlignment="1" applyProtection="1">
      <alignment horizontal="center"/>
    </xf>
    <xf numFmtId="0" fontId="0" fillId="0" borderId="0" xfId="0" applyAlignment="1" applyProtection="1"/>
    <xf numFmtId="0" fontId="36" fillId="0" borderId="0" xfId="8" applyFont="1" applyAlignment="1" applyProtection="1">
      <alignment horizontal="center" vertical="center"/>
    </xf>
    <xf numFmtId="0" fontId="25" fillId="5" borderId="0" xfId="2" applyFont="1" applyFill="1" applyAlignment="1" applyProtection="1">
      <alignment horizontal="center" vertical="top" textRotation="90" wrapText="1"/>
    </xf>
    <xf numFmtId="0" fontId="25" fillId="5" borderId="0" xfId="2" applyFont="1" applyFill="1" applyAlignment="1" applyProtection="1">
      <alignment horizontal="center" vertical="center" wrapText="1"/>
    </xf>
    <xf numFmtId="0" fontId="25" fillId="5" borderId="0" xfId="2" applyFont="1" applyFill="1" applyAlignment="1" applyProtection="1">
      <alignment horizontal="left" vertical="center" wrapText="1"/>
    </xf>
    <xf numFmtId="0" fontId="25" fillId="5" borderId="0" xfId="2" applyFont="1" applyFill="1" applyAlignment="1" applyProtection="1">
      <alignment vertical="center" wrapText="1"/>
    </xf>
    <xf numFmtId="0" fontId="25" fillId="5" borderId="0" xfId="2" applyFont="1" applyFill="1" applyBorder="1" applyAlignment="1" applyProtection="1">
      <alignment horizontal="center" vertical="center" wrapText="1"/>
    </xf>
    <xf numFmtId="0" fontId="25" fillId="5" borderId="4" xfId="2" applyNumberFormat="1" applyFont="1" applyFill="1" applyBorder="1" applyAlignment="1" applyProtection="1">
      <alignment vertical="center" wrapText="1"/>
    </xf>
    <xf numFmtId="0" fontId="34" fillId="9" borderId="0" xfId="2" applyFont="1" applyFill="1" applyAlignment="1" applyProtection="1">
      <alignment horizontal="center" vertical="top" textRotation="90" wrapText="1"/>
    </xf>
    <xf numFmtId="0" fontId="20" fillId="0" borderId="0" xfId="2" applyFont="1" applyBorder="1" applyAlignment="1" applyProtection="1">
      <alignment vertical="top" wrapText="1"/>
    </xf>
    <xf numFmtId="0" fontId="20" fillId="0" borderId="0" xfId="2" applyFont="1" applyAlignment="1" applyProtection="1">
      <alignment vertical="top" wrapText="1"/>
    </xf>
    <xf numFmtId="0" fontId="20" fillId="0" borderId="6" xfId="2" applyFont="1" applyBorder="1" applyAlignment="1" applyProtection="1">
      <alignment horizontal="center" vertical="center"/>
    </xf>
    <xf numFmtId="0" fontId="32" fillId="4" borderId="5" xfId="2" applyFont="1" applyFill="1" applyBorder="1" applyAlignment="1" applyProtection="1">
      <alignment vertical="center"/>
    </xf>
    <xf numFmtId="0" fontId="26" fillId="4" borderId="5" xfId="2" applyFont="1" applyFill="1" applyBorder="1" applyAlignment="1" applyProtection="1">
      <alignment horizontal="center" vertical="center"/>
    </xf>
    <xf numFmtId="0" fontId="26" fillId="4" borderId="5" xfId="2" applyFont="1" applyFill="1" applyBorder="1" applyAlignment="1" applyProtection="1">
      <alignment vertical="center" wrapText="1"/>
    </xf>
    <xf numFmtId="0" fontId="27" fillId="4" borderId="5" xfId="2" applyFont="1" applyFill="1" applyBorder="1" applyAlignment="1" applyProtection="1">
      <alignment horizontal="right" vertical="center"/>
    </xf>
    <xf numFmtId="9" fontId="27" fillId="4" borderId="5" xfId="2" applyNumberFormat="1" applyFont="1" applyFill="1" applyBorder="1" applyAlignment="1" applyProtection="1">
      <alignment horizontal="center" vertical="center"/>
    </xf>
    <xf numFmtId="166" fontId="18" fillId="8" borderId="9" xfId="7" applyNumberFormat="1" applyFont="1" applyAlignment="1" applyProtection="1">
      <alignment vertical="center"/>
    </xf>
    <xf numFmtId="9" fontId="28" fillId="4" borderId="5" xfId="1" applyFont="1" applyFill="1" applyBorder="1" applyAlignment="1" applyProtection="1">
      <alignment horizontal="center" vertical="center"/>
    </xf>
    <xf numFmtId="166" fontId="28" fillId="4" borderId="5" xfId="4" applyFont="1" applyFill="1" applyBorder="1" applyAlignment="1" applyProtection="1">
      <alignment vertical="center"/>
    </xf>
    <xf numFmtId="168" fontId="28" fillId="4" borderId="5" xfId="4" applyNumberFormat="1" applyFont="1" applyFill="1" applyBorder="1" applyAlignment="1" applyProtection="1">
      <alignment vertical="center"/>
    </xf>
    <xf numFmtId="164" fontId="28" fillId="4" borderId="5" xfId="4" applyNumberFormat="1" applyFont="1" applyFill="1" applyBorder="1" applyAlignment="1" applyProtection="1">
      <alignment horizontal="center" vertical="center"/>
    </xf>
    <xf numFmtId="0" fontId="20" fillId="0" borderId="6" xfId="2" applyFont="1" applyBorder="1" applyAlignment="1" applyProtection="1">
      <alignment vertical="center"/>
    </xf>
    <xf numFmtId="0" fontId="21" fillId="0" borderId="0" xfId="2" applyFont="1" applyBorder="1" applyProtection="1"/>
    <xf numFmtId="167" fontId="25" fillId="5" borderId="0" xfId="2" applyNumberFormat="1" applyFont="1" applyFill="1" applyAlignment="1" applyProtection="1">
      <alignment horizontal="center" vertical="center"/>
    </xf>
    <xf numFmtId="167" fontId="25" fillId="5" borderId="0" xfId="2" applyNumberFormat="1" applyFont="1" applyFill="1" applyAlignment="1" applyProtection="1">
      <alignment vertical="center" wrapText="1"/>
    </xf>
    <xf numFmtId="0" fontId="8" fillId="0" borderId="0" xfId="0" applyFont="1" applyAlignment="1" applyProtection="1">
      <alignment horizontal="left" vertical="top" wrapText="1"/>
    </xf>
    <xf numFmtId="9" fontId="17" fillId="0" borderId="0" xfId="1" applyFont="1" applyAlignment="1" applyProtection="1">
      <alignment horizontal="center"/>
    </xf>
    <xf numFmtId="2" fontId="29" fillId="5" borderId="0" xfId="2" applyNumberFormat="1" applyFont="1" applyFill="1" applyBorder="1" applyAlignment="1" applyProtection="1">
      <alignment horizontal="center" vertical="center"/>
    </xf>
    <xf numFmtId="0" fontId="20" fillId="0" borderId="7" xfId="2" applyFont="1" applyBorder="1" applyAlignment="1" applyProtection="1">
      <alignment vertical="top" wrapText="1"/>
    </xf>
    <xf numFmtId="0" fontId="38" fillId="0" borderId="7" xfId="2" applyFont="1" applyBorder="1" applyAlignment="1" applyProtection="1">
      <alignment horizontal="center" vertical="center" wrapText="1"/>
    </xf>
    <xf numFmtId="0" fontId="20" fillId="0" borderId="0" xfId="2" applyFont="1" applyProtection="1"/>
    <xf numFmtId="0" fontId="8" fillId="9" borderId="15" xfId="0" applyFont="1" applyFill="1" applyBorder="1" applyAlignment="1" applyProtection="1">
      <alignment horizontal="left" vertical="top" wrapText="1"/>
    </xf>
    <xf numFmtId="0" fontId="4" fillId="0" borderId="0" xfId="0" applyFont="1" applyAlignment="1" applyProtection="1">
      <alignment horizontal="left" vertical="top" wrapText="1"/>
    </xf>
    <xf numFmtId="0" fontId="21" fillId="0" borderId="0" xfId="2" applyFont="1" applyProtection="1"/>
    <xf numFmtId="0" fontId="25" fillId="0" borderId="0" xfId="2" applyFont="1" applyProtection="1"/>
    <xf numFmtId="0" fontId="20" fillId="0" borderId="0" xfId="2" applyFont="1" applyBorder="1" applyProtection="1"/>
    <xf numFmtId="0" fontId="20" fillId="0" borderId="0" xfId="2" applyFont="1" applyBorder="1" applyAlignment="1" applyProtection="1">
      <alignment horizontal="center"/>
    </xf>
    <xf numFmtId="0" fontId="8" fillId="0" borderId="0" xfId="0" applyFont="1" applyProtection="1"/>
    <xf numFmtId="9" fontId="8" fillId="0" borderId="0" xfId="1" applyFont="1" applyProtection="1"/>
    <xf numFmtId="0" fontId="20" fillId="0" borderId="4" xfId="2" applyFont="1" applyBorder="1" applyAlignment="1" applyProtection="1">
      <alignment wrapText="1"/>
    </xf>
    <xf numFmtId="0" fontId="14" fillId="7" borderId="9" xfId="6" applyAlignment="1">
      <alignment horizontal="center" vertical="top"/>
      <protection locked="0"/>
    </xf>
    <xf numFmtId="0" fontId="14" fillId="7" borderId="9" xfId="6" applyAlignment="1">
      <alignment horizontal="center" vertical="center"/>
      <protection locked="0"/>
    </xf>
    <xf numFmtId="0" fontId="53" fillId="0" borderId="17" xfId="22"/>
    <xf numFmtId="49" fontId="34" fillId="9" borderId="0" xfId="2" applyNumberFormat="1" applyFont="1" applyFill="1" applyAlignment="1" applyProtection="1">
      <alignment horizontal="center" vertical="top" textRotation="90" wrapText="1"/>
    </xf>
  </cellXfs>
  <cellStyles count="23">
    <cellStyle name="Calculation" xfId="7" builtinId="22"/>
    <cellStyle name="Comma" xfId="4" builtinId="3"/>
    <cellStyle name="Currency 2" xfId="14"/>
    <cellStyle name="Day Date Time" xfId="16"/>
    <cellStyle name="Explanatory Text" xfId="8" builtinId="53"/>
    <cellStyle name="Heading 2" xfId="22" builtinId="17"/>
    <cellStyle name="Heading 3" xfId="5" builtinId="18"/>
    <cellStyle name="Hyperlink 2" xfId="13"/>
    <cellStyle name="Input" xfId="6" builtinId="20" customBuiltin="1"/>
    <cellStyle name="Input 2" xfId="17"/>
    <cellStyle name="Lookup" xfId="18"/>
    <cellStyle name="Normal" xfId="0" builtinId="0"/>
    <cellStyle name="Normal 2" xfId="2"/>
    <cellStyle name="Normal 3" xfId="9"/>
    <cellStyle name="Normal 3 2" xfId="12"/>
    <cellStyle name="Normal 4" xfId="11"/>
    <cellStyle name="Normal 5" xfId="21"/>
    <cellStyle name="Percent" xfId="1" builtinId="5"/>
    <cellStyle name="Percent 2" xfId="3"/>
    <cellStyle name="Percent 2 2" xfId="15"/>
    <cellStyle name="Row_label" xfId="19"/>
    <cellStyle name="Sheet Header" xfId="20"/>
    <cellStyle name="SheetHeader" xfId="10"/>
  </cellStyles>
  <dxfs count="17">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0"/>
      </font>
      <fill>
        <patternFill>
          <bgColor rgb="FF00B050"/>
        </patternFill>
      </fill>
    </dxf>
    <dxf>
      <font>
        <color theme="0"/>
      </font>
      <fill>
        <patternFill>
          <bgColor rgb="FFFF0000"/>
        </patternFill>
      </fill>
    </dxf>
    <dxf>
      <font>
        <color theme="0"/>
      </font>
      <fill>
        <patternFill>
          <bgColor rgb="FFFF0000"/>
        </patternFill>
      </fill>
    </dxf>
  </dxfs>
  <tableStyles count="0" defaultTableStyle="TableStyleMedium9" defaultPivotStyle="PivotStyleLight16"/>
  <colors>
    <mruColors>
      <color rgb="FFFFFF99"/>
      <color rgb="FF3366FF"/>
      <color rgb="FF00FFFF"/>
      <color rgb="FF33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ctrlProps/ctrlProp1.xml><?xml version="1.0" encoding="utf-8"?>
<formControlPr xmlns="http://schemas.microsoft.com/office/spreadsheetml/2009/9/main" objectType="GBox"/>
</file>

<file path=xl/drawings/_rels/drawing1.x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png"/><Relationship Id="rId7" Type="http://schemas.openxmlformats.org/officeDocument/2006/relationships/image" Target="../media/image7.emf"/><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emf"/><Relationship Id="rId11" Type="http://schemas.openxmlformats.org/officeDocument/2006/relationships/image" Target="../media/image11.png"/><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2.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5.emf"/><Relationship Id="rId1" Type="http://schemas.openxmlformats.org/officeDocument/2006/relationships/image" Target="../media/image14.emf"/><Relationship Id="rId4" Type="http://schemas.openxmlformats.org/officeDocument/2006/relationships/image" Target="../media/image17.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3.png"/></Relationships>
</file>

<file path=xl/drawings/drawing1.xml><?xml version="1.0" encoding="utf-8"?>
<xdr:wsDr xmlns:xdr="http://schemas.openxmlformats.org/drawingml/2006/spreadsheetDrawing" xmlns:a="http://schemas.openxmlformats.org/drawingml/2006/main">
  <xdr:twoCellAnchor editAs="oneCell">
    <xdr:from>
      <xdr:col>9</xdr:col>
      <xdr:colOff>273015</xdr:colOff>
      <xdr:row>2</xdr:row>
      <xdr:rowOff>124283</xdr:rowOff>
    </xdr:from>
    <xdr:to>
      <xdr:col>16</xdr:col>
      <xdr:colOff>145676</xdr:colOff>
      <xdr:row>40</xdr:row>
      <xdr:rowOff>145797</xdr:rowOff>
    </xdr:to>
    <xdr:pic>
      <xdr:nvPicPr>
        <xdr:cNvPr id="3073" name="Picture 1"/>
        <xdr:cNvPicPr>
          <a:picLocks noChangeAspect="1" noChangeArrowheads="1"/>
        </xdr:cNvPicPr>
      </xdr:nvPicPr>
      <xdr:blipFill>
        <a:blip xmlns:r="http://schemas.openxmlformats.org/officeDocument/2006/relationships" r:embed="rId1" cstate="print"/>
        <a:srcRect t="18218" r="72910"/>
        <a:stretch>
          <a:fillRect/>
        </a:stretch>
      </xdr:blipFill>
      <xdr:spPr bwMode="auto">
        <a:xfrm>
          <a:off x="11747839" y="516489"/>
          <a:ext cx="4108484" cy="6855810"/>
        </a:xfrm>
        <a:prstGeom prst="rect">
          <a:avLst/>
        </a:prstGeom>
        <a:noFill/>
        <a:ln w="1">
          <a:noFill/>
          <a:miter lim="800000"/>
          <a:headEnd/>
          <a:tailEnd type="none" w="med" len="med"/>
        </a:ln>
        <a:effectLst/>
      </xdr:spPr>
    </xdr:pic>
    <xdr:clientData/>
  </xdr:twoCellAnchor>
  <xdr:twoCellAnchor>
    <xdr:from>
      <xdr:col>4</xdr:col>
      <xdr:colOff>38514</xdr:colOff>
      <xdr:row>5</xdr:row>
      <xdr:rowOff>0</xdr:rowOff>
    </xdr:from>
    <xdr:to>
      <xdr:col>8</xdr:col>
      <xdr:colOff>0</xdr:colOff>
      <xdr:row>8</xdr:row>
      <xdr:rowOff>11205</xdr:rowOff>
    </xdr:to>
    <xdr:sp macro="" textlink="">
      <xdr:nvSpPr>
        <xdr:cNvPr id="5" name="Line Callout 2 4"/>
        <xdr:cNvSpPr/>
      </xdr:nvSpPr>
      <xdr:spPr bwMode="auto">
        <a:xfrm>
          <a:off x="8487749" y="1008529"/>
          <a:ext cx="2381957" cy="571500"/>
        </a:xfrm>
        <a:prstGeom prst="borderCallout2">
          <a:avLst>
            <a:gd name="adj1" fmla="val 10907"/>
            <a:gd name="adj2" fmla="val 102222"/>
            <a:gd name="adj3" fmla="val 10907"/>
            <a:gd name="adj4" fmla="val 114588"/>
            <a:gd name="adj5" fmla="val -53245"/>
            <a:gd name="adj6" fmla="val 159777"/>
          </a:avLst>
        </a:prstGeom>
        <a:ln>
          <a:headEnd type="none" w="med" len="med"/>
          <a:tailEnd type="none" w="med" len="med"/>
        </a:ln>
      </xdr:spPr>
      <xdr:style>
        <a:lnRef idx="1">
          <a:schemeClr val="accent6"/>
        </a:lnRef>
        <a:fillRef idx="2">
          <a:schemeClr val="accent6"/>
        </a:fillRef>
        <a:effectRef idx="1">
          <a:schemeClr val="accent6"/>
        </a:effectRef>
        <a:fontRef idx="minor">
          <a:schemeClr val="dk1"/>
        </a:fontRef>
      </xdr:style>
      <xdr:txBody>
        <a:bodyPr vertOverflow="clip" wrap="square" lIns="18288" tIns="0" rIns="0" bIns="0" rtlCol="0" anchor="ctr" upright="1"/>
        <a:lstStyle/>
        <a:p>
          <a:pPr algn="l"/>
          <a:r>
            <a:rPr lang="de-DE" sz="1100" b="1" u="sng"/>
            <a:t>Column groups:</a:t>
          </a:r>
        </a:p>
        <a:p>
          <a:pPr algn="l"/>
          <a:r>
            <a:rPr lang="de-DE" sz="1100"/>
            <a:t>[1] = Main columns only (for</a:t>
          </a:r>
          <a:r>
            <a:rPr lang="de-DE" sz="1100" baseline="0"/>
            <a:t> printing)</a:t>
          </a:r>
        </a:p>
        <a:p>
          <a:pPr algn="l"/>
          <a:r>
            <a:rPr lang="de-DE" sz="1100" baseline="0"/>
            <a:t>[2] = Shows details (for data entry)</a:t>
          </a:r>
          <a:endParaRPr lang="de-DE" sz="1100"/>
        </a:p>
      </xdr:txBody>
    </xdr:sp>
    <xdr:clientData/>
  </xdr:twoCellAnchor>
  <xdr:twoCellAnchor>
    <xdr:from>
      <xdr:col>4</xdr:col>
      <xdr:colOff>33612</xdr:colOff>
      <xdr:row>10</xdr:row>
      <xdr:rowOff>0</xdr:rowOff>
    </xdr:from>
    <xdr:to>
      <xdr:col>7</xdr:col>
      <xdr:colOff>556732</xdr:colOff>
      <xdr:row>14</xdr:row>
      <xdr:rowOff>145676</xdr:rowOff>
    </xdr:to>
    <xdr:sp macro="" textlink="">
      <xdr:nvSpPr>
        <xdr:cNvPr id="6" name="Line Callout 2 5"/>
        <xdr:cNvSpPr/>
      </xdr:nvSpPr>
      <xdr:spPr bwMode="auto">
        <a:xfrm>
          <a:off x="8481096" y="1910953"/>
          <a:ext cx="2344777" cy="788614"/>
        </a:xfrm>
        <a:prstGeom prst="borderCallout2">
          <a:avLst>
            <a:gd name="adj1" fmla="val 19383"/>
            <a:gd name="adj2" fmla="val 105491"/>
            <a:gd name="adj3" fmla="val 20199"/>
            <a:gd name="adj4" fmla="val 116550"/>
            <a:gd name="adj5" fmla="val -110768"/>
            <a:gd name="adj6" fmla="val 151006"/>
          </a:avLst>
        </a:prstGeom>
        <a:ln>
          <a:headEnd type="none" w="med" len="med"/>
          <a:tailEnd type="none" w="med" len="med"/>
        </a:ln>
      </xdr:spPr>
      <xdr:style>
        <a:lnRef idx="1">
          <a:schemeClr val="accent6"/>
        </a:lnRef>
        <a:fillRef idx="2">
          <a:schemeClr val="accent6"/>
        </a:fillRef>
        <a:effectRef idx="1">
          <a:schemeClr val="accent6"/>
        </a:effectRef>
        <a:fontRef idx="minor">
          <a:schemeClr val="dk1"/>
        </a:fontRef>
      </xdr:style>
      <xdr:txBody>
        <a:bodyPr vertOverflow="clip" wrap="square" lIns="18288" tIns="0" rIns="0" bIns="0" rtlCol="0" anchor="ctr" upright="1"/>
        <a:lstStyle/>
        <a:p>
          <a:pPr algn="l"/>
          <a:r>
            <a:rPr lang="de-DE" sz="1100" b="1" u="sng"/>
            <a:t>Row groups:</a:t>
          </a:r>
        </a:p>
        <a:p>
          <a:pPr algn="l"/>
          <a:r>
            <a:rPr lang="de-DE" sz="1100"/>
            <a:t>[1] = Section headers only (condensed)</a:t>
          </a:r>
          <a:endParaRPr lang="de-DE" sz="1100" baseline="0"/>
        </a:p>
        <a:p>
          <a:pPr algn="l"/>
          <a:r>
            <a:rPr lang="de-DE" sz="1100" baseline="0"/>
            <a:t>[2] = All Questions &amp; Scores (data entry)</a:t>
          </a:r>
        </a:p>
        <a:p>
          <a:pPr fontAlgn="base"/>
          <a:r>
            <a:rPr lang="de-DE" sz="1100" baseline="0"/>
            <a:t>[3] = &lt;future use&gt; (hidden blank lines)</a:t>
          </a:r>
          <a:endParaRPr lang="de-DE" sz="1100" baseline="0">
            <a:solidFill>
              <a:schemeClr val="dk1"/>
            </a:solidFill>
            <a:latin typeface="+mn-lt"/>
            <a:ea typeface="+mn-ea"/>
            <a:cs typeface="+mn-cs"/>
          </a:endParaRPr>
        </a:p>
      </xdr:txBody>
    </xdr:sp>
    <xdr:clientData/>
  </xdr:twoCellAnchor>
  <xdr:twoCellAnchor editAs="oneCell">
    <xdr:from>
      <xdr:col>1</xdr:col>
      <xdr:colOff>0</xdr:colOff>
      <xdr:row>2</xdr:row>
      <xdr:rowOff>1694</xdr:rowOff>
    </xdr:from>
    <xdr:to>
      <xdr:col>1</xdr:col>
      <xdr:colOff>700000</xdr:colOff>
      <xdr:row>2</xdr:row>
      <xdr:rowOff>230266</xdr:rowOff>
    </xdr:to>
    <xdr:pic>
      <xdr:nvPicPr>
        <xdr:cNvPr id="8" name="Picture 7"/>
        <xdr:cNvPicPr>
          <a:picLocks noChangeAspect="1"/>
        </xdr:cNvPicPr>
      </xdr:nvPicPr>
      <xdr:blipFill>
        <a:blip xmlns:r="http://schemas.openxmlformats.org/officeDocument/2006/relationships" r:embed="rId2" cstate="print"/>
        <a:stretch>
          <a:fillRect/>
        </a:stretch>
      </xdr:blipFill>
      <xdr:spPr>
        <a:xfrm>
          <a:off x="397565" y="407542"/>
          <a:ext cx="700000" cy="228572"/>
        </a:xfrm>
        <a:prstGeom prst="rect">
          <a:avLst/>
        </a:prstGeom>
      </xdr:spPr>
    </xdr:pic>
    <xdr:clientData/>
  </xdr:twoCellAnchor>
  <xdr:twoCellAnchor editAs="oneCell">
    <xdr:from>
      <xdr:col>1</xdr:col>
      <xdr:colOff>1</xdr:colOff>
      <xdr:row>29</xdr:row>
      <xdr:rowOff>1</xdr:rowOff>
    </xdr:from>
    <xdr:to>
      <xdr:col>1</xdr:col>
      <xdr:colOff>757144</xdr:colOff>
      <xdr:row>34</xdr:row>
      <xdr:rowOff>143168</xdr:rowOff>
    </xdr:to>
    <xdr:pic>
      <xdr:nvPicPr>
        <xdr:cNvPr id="10" name="Picture 9"/>
        <xdr:cNvPicPr>
          <a:picLocks noChangeAspect="1"/>
        </xdr:cNvPicPr>
      </xdr:nvPicPr>
      <xdr:blipFill>
        <a:blip xmlns:r="http://schemas.openxmlformats.org/officeDocument/2006/relationships" r:embed="rId3" cstate="print"/>
        <a:stretch>
          <a:fillRect/>
        </a:stretch>
      </xdr:blipFill>
      <xdr:spPr>
        <a:xfrm>
          <a:off x="397566" y="2112066"/>
          <a:ext cx="757143" cy="971429"/>
        </a:xfrm>
        <a:prstGeom prst="rect">
          <a:avLst/>
        </a:prstGeom>
      </xdr:spPr>
    </xdr:pic>
    <xdr:clientData/>
  </xdr:twoCellAnchor>
  <xdr:twoCellAnchor editAs="oneCell">
    <xdr:from>
      <xdr:col>1</xdr:col>
      <xdr:colOff>0</xdr:colOff>
      <xdr:row>24</xdr:row>
      <xdr:rowOff>0</xdr:rowOff>
    </xdr:from>
    <xdr:to>
      <xdr:col>1</xdr:col>
      <xdr:colOff>1228725</xdr:colOff>
      <xdr:row>25</xdr:row>
      <xdr:rowOff>10768</xdr:rowOff>
    </xdr:to>
    <xdr:pic>
      <xdr:nvPicPr>
        <xdr:cNvPr id="3078" name="Picture 6"/>
        <xdr:cNvPicPr>
          <a:picLocks noChangeAspect="1" noChangeArrowheads="1"/>
        </xdr:cNvPicPr>
      </xdr:nvPicPr>
      <xdr:blipFill>
        <a:blip xmlns:r="http://schemas.openxmlformats.org/officeDocument/2006/relationships" r:embed="rId4" cstate="print"/>
        <a:srcRect/>
        <a:stretch>
          <a:fillRect/>
        </a:stretch>
      </xdr:blipFill>
      <xdr:spPr bwMode="auto">
        <a:xfrm>
          <a:off x="397565" y="2609022"/>
          <a:ext cx="1228725" cy="209550"/>
        </a:xfrm>
        <a:prstGeom prst="rect">
          <a:avLst/>
        </a:prstGeom>
        <a:noFill/>
      </xdr:spPr>
    </xdr:pic>
    <xdr:clientData/>
  </xdr:twoCellAnchor>
  <xdr:twoCellAnchor editAs="oneCell">
    <xdr:from>
      <xdr:col>1</xdr:col>
      <xdr:colOff>0</xdr:colOff>
      <xdr:row>15</xdr:row>
      <xdr:rowOff>0</xdr:rowOff>
    </xdr:from>
    <xdr:to>
      <xdr:col>1</xdr:col>
      <xdr:colOff>1020300</xdr:colOff>
      <xdr:row>23</xdr:row>
      <xdr:rowOff>55879</xdr:rowOff>
    </xdr:to>
    <xdr:pic>
      <xdr:nvPicPr>
        <xdr:cNvPr id="3080" name="Picture 8"/>
        <xdr:cNvPicPr>
          <a:picLocks noChangeAspect="1" noChangeArrowheads="1"/>
        </xdr:cNvPicPr>
      </xdr:nvPicPr>
      <xdr:blipFill>
        <a:blip xmlns:r="http://schemas.openxmlformats.org/officeDocument/2006/relationships" r:embed="rId5" cstate="print"/>
        <a:srcRect/>
        <a:stretch>
          <a:fillRect/>
        </a:stretch>
      </xdr:blipFill>
      <xdr:spPr bwMode="auto">
        <a:xfrm>
          <a:off x="403412" y="2823882"/>
          <a:ext cx="1020300" cy="1456615"/>
        </a:xfrm>
        <a:prstGeom prst="rect">
          <a:avLst/>
        </a:prstGeom>
        <a:noFill/>
      </xdr:spPr>
    </xdr:pic>
    <xdr:clientData/>
  </xdr:twoCellAnchor>
  <xdr:twoCellAnchor editAs="oneCell">
    <xdr:from>
      <xdr:col>1</xdr:col>
      <xdr:colOff>0</xdr:colOff>
      <xdr:row>36</xdr:row>
      <xdr:rowOff>0</xdr:rowOff>
    </xdr:from>
    <xdr:to>
      <xdr:col>1</xdr:col>
      <xdr:colOff>934800</xdr:colOff>
      <xdr:row>38</xdr:row>
      <xdr:rowOff>68504</xdr:rowOff>
    </xdr:to>
    <xdr:pic>
      <xdr:nvPicPr>
        <xdr:cNvPr id="3083" name="Picture 11"/>
        <xdr:cNvPicPr>
          <a:picLocks noChangeAspect="1" noChangeArrowheads="1"/>
        </xdr:cNvPicPr>
      </xdr:nvPicPr>
      <xdr:blipFill>
        <a:blip xmlns:r="http://schemas.openxmlformats.org/officeDocument/2006/relationships" r:embed="rId6" cstate="print"/>
        <a:srcRect/>
        <a:stretch>
          <a:fillRect/>
        </a:stretch>
      </xdr:blipFill>
      <xdr:spPr bwMode="auto">
        <a:xfrm>
          <a:off x="397565" y="4629978"/>
          <a:ext cx="934800" cy="689700"/>
        </a:xfrm>
        <a:prstGeom prst="rect">
          <a:avLst/>
        </a:prstGeom>
        <a:noFill/>
      </xdr:spPr>
    </xdr:pic>
    <xdr:clientData/>
  </xdr:twoCellAnchor>
  <xdr:twoCellAnchor editAs="oneCell">
    <xdr:from>
      <xdr:col>1</xdr:col>
      <xdr:colOff>0</xdr:colOff>
      <xdr:row>40</xdr:row>
      <xdr:rowOff>0</xdr:rowOff>
    </xdr:from>
    <xdr:to>
      <xdr:col>1</xdr:col>
      <xdr:colOff>1065900</xdr:colOff>
      <xdr:row>43</xdr:row>
      <xdr:rowOff>67343</xdr:rowOff>
    </xdr:to>
    <xdr:pic>
      <xdr:nvPicPr>
        <xdr:cNvPr id="3084" name="Picture 12"/>
        <xdr:cNvPicPr>
          <a:picLocks noChangeAspect="1" noChangeArrowheads="1"/>
        </xdr:cNvPicPr>
      </xdr:nvPicPr>
      <xdr:blipFill>
        <a:blip xmlns:r="http://schemas.openxmlformats.org/officeDocument/2006/relationships" r:embed="rId7" cstate="print"/>
        <a:srcRect/>
        <a:stretch>
          <a:fillRect/>
        </a:stretch>
      </xdr:blipFill>
      <xdr:spPr bwMode="auto">
        <a:xfrm>
          <a:off x="397565" y="5582478"/>
          <a:ext cx="1065900" cy="564300"/>
        </a:xfrm>
        <a:prstGeom prst="rect">
          <a:avLst/>
        </a:prstGeom>
        <a:noFill/>
      </xdr:spPr>
    </xdr:pic>
    <xdr:clientData/>
  </xdr:twoCellAnchor>
  <xdr:twoCellAnchor editAs="oneCell">
    <xdr:from>
      <xdr:col>1</xdr:col>
      <xdr:colOff>0</xdr:colOff>
      <xdr:row>25</xdr:row>
      <xdr:rowOff>0</xdr:rowOff>
    </xdr:from>
    <xdr:to>
      <xdr:col>1</xdr:col>
      <xdr:colOff>1228725</xdr:colOff>
      <xdr:row>26</xdr:row>
      <xdr:rowOff>47626</xdr:rowOff>
    </xdr:to>
    <xdr:pic>
      <xdr:nvPicPr>
        <xdr:cNvPr id="3085" name="Picture 13"/>
        <xdr:cNvPicPr>
          <a:picLocks noChangeAspect="1" noChangeArrowheads="1"/>
        </xdr:cNvPicPr>
      </xdr:nvPicPr>
      <xdr:blipFill>
        <a:blip xmlns:r="http://schemas.openxmlformats.org/officeDocument/2006/relationships" r:embed="rId8" cstate="print"/>
        <a:srcRect/>
        <a:stretch>
          <a:fillRect/>
        </a:stretch>
      </xdr:blipFill>
      <xdr:spPr bwMode="auto">
        <a:xfrm>
          <a:off x="400050" y="2771775"/>
          <a:ext cx="1228725" cy="209550"/>
        </a:xfrm>
        <a:prstGeom prst="rect">
          <a:avLst/>
        </a:prstGeom>
        <a:noFill/>
      </xdr:spPr>
    </xdr:pic>
    <xdr:clientData/>
  </xdr:twoCellAnchor>
  <xdr:twoCellAnchor editAs="oneCell">
    <xdr:from>
      <xdr:col>1</xdr:col>
      <xdr:colOff>0</xdr:colOff>
      <xdr:row>57</xdr:row>
      <xdr:rowOff>0</xdr:rowOff>
    </xdr:from>
    <xdr:to>
      <xdr:col>1</xdr:col>
      <xdr:colOff>1000125</xdr:colOff>
      <xdr:row>59</xdr:row>
      <xdr:rowOff>28574</xdr:rowOff>
    </xdr:to>
    <xdr:pic>
      <xdr:nvPicPr>
        <xdr:cNvPr id="3088" name="Picture 16"/>
        <xdr:cNvPicPr>
          <a:picLocks noChangeAspect="1" noChangeArrowheads="1"/>
        </xdr:cNvPicPr>
      </xdr:nvPicPr>
      <xdr:blipFill>
        <a:blip xmlns:r="http://schemas.openxmlformats.org/officeDocument/2006/relationships" r:embed="rId9" cstate="print"/>
        <a:srcRect/>
        <a:stretch>
          <a:fillRect/>
        </a:stretch>
      </xdr:blipFill>
      <xdr:spPr bwMode="auto">
        <a:xfrm>
          <a:off x="397565" y="9268239"/>
          <a:ext cx="1000125" cy="359879"/>
        </a:xfrm>
        <a:prstGeom prst="rect">
          <a:avLst/>
        </a:prstGeom>
        <a:noFill/>
      </xdr:spPr>
    </xdr:pic>
    <xdr:clientData/>
  </xdr:twoCellAnchor>
  <xdr:twoCellAnchor editAs="oneCell">
    <xdr:from>
      <xdr:col>1</xdr:col>
      <xdr:colOff>0</xdr:colOff>
      <xdr:row>46</xdr:row>
      <xdr:rowOff>0</xdr:rowOff>
    </xdr:from>
    <xdr:to>
      <xdr:col>1</xdr:col>
      <xdr:colOff>1086800</xdr:colOff>
      <xdr:row>49</xdr:row>
      <xdr:rowOff>84239</xdr:rowOff>
    </xdr:to>
    <xdr:pic>
      <xdr:nvPicPr>
        <xdr:cNvPr id="3089" name="Picture 17"/>
        <xdr:cNvPicPr>
          <a:picLocks noChangeAspect="1" noChangeArrowheads="1"/>
        </xdr:cNvPicPr>
      </xdr:nvPicPr>
      <xdr:blipFill>
        <a:blip xmlns:r="http://schemas.openxmlformats.org/officeDocument/2006/relationships" r:embed="rId10" cstate="print"/>
        <a:srcRect/>
        <a:stretch>
          <a:fillRect/>
        </a:stretch>
      </xdr:blipFill>
      <xdr:spPr bwMode="auto">
        <a:xfrm>
          <a:off x="397565" y="8415130"/>
          <a:ext cx="1086800" cy="722000"/>
        </a:xfrm>
        <a:prstGeom prst="rect">
          <a:avLst/>
        </a:prstGeom>
        <a:noFill/>
      </xdr:spPr>
    </xdr:pic>
    <xdr:clientData/>
  </xdr:twoCellAnchor>
  <xdr:twoCellAnchor>
    <xdr:from>
      <xdr:col>4</xdr:col>
      <xdr:colOff>33612</xdr:colOff>
      <xdr:row>16</xdr:row>
      <xdr:rowOff>0</xdr:rowOff>
    </xdr:from>
    <xdr:to>
      <xdr:col>7</xdr:col>
      <xdr:colOff>556732</xdr:colOff>
      <xdr:row>19</xdr:row>
      <xdr:rowOff>138953</xdr:rowOff>
    </xdr:to>
    <xdr:sp macro="" textlink="">
      <xdr:nvSpPr>
        <xdr:cNvPr id="14" name="Line Callout 2 13"/>
        <xdr:cNvSpPr/>
      </xdr:nvSpPr>
      <xdr:spPr bwMode="auto">
        <a:xfrm>
          <a:off x="8482847" y="3081618"/>
          <a:ext cx="2338473" cy="609600"/>
        </a:xfrm>
        <a:prstGeom prst="borderCallout2">
          <a:avLst>
            <a:gd name="adj1" fmla="val 26103"/>
            <a:gd name="adj2" fmla="val 103799"/>
            <a:gd name="adj3" fmla="val 26103"/>
            <a:gd name="adj4" fmla="val 114633"/>
            <a:gd name="adj5" fmla="val 201077"/>
            <a:gd name="adj6" fmla="val 139026"/>
          </a:avLst>
        </a:prstGeom>
        <a:ln>
          <a:headEnd type="none" w="med" len="med"/>
          <a:tailEnd type="none" w="med" len="med"/>
        </a:ln>
      </xdr:spPr>
      <xdr:style>
        <a:lnRef idx="1">
          <a:schemeClr val="accent6"/>
        </a:lnRef>
        <a:fillRef idx="2">
          <a:schemeClr val="accent6"/>
        </a:fillRef>
        <a:effectRef idx="1">
          <a:schemeClr val="accent6"/>
        </a:effectRef>
        <a:fontRef idx="minor">
          <a:schemeClr val="dk1"/>
        </a:fontRef>
      </xdr:style>
      <xdr:txBody>
        <a:bodyPr vertOverflow="clip" wrap="square" lIns="18288" tIns="0" rIns="0" bIns="0" rtlCol="0" anchor="ctr" upright="1"/>
        <a:lstStyle/>
        <a:p>
          <a:pPr algn="l"/>
          <a:r>
            <a:rPr lang="de-DE" sz="1100" b="1" u="sng"/>
            <a:t>Individual groups:</a:t>
          </a:r>
        </a:p>
        <a:p>
          <a:pPr algn="l"/>
          <a:r>
            <a:rPr lang="de-DE" sz="1100" baseline="0">
              <a:solidFill>
                <a:schemeClr val="dk1"/>
              </a:solidFill>
              <a:latin typeface="+mn-lt"/>
              <a:ea typeface="+mn-ea"/>
              <a:cs typeface="+mn-cs"/>
            </a:rPr>
            <a:t>[-]  = Collapse individual group</a:t>
          </a:r>
          <a:endParaRPr lang="de-DE"/>
        </a:p>
        <a:p>
          <a:r>
            <a:rPr lang="de-DE" sz="1100" baseline="0">
              <a:solidFill>
                <a:schemeClr val="dk1"/>
              </a:solidFill>
              <a:latin typeface="+mn-lt"/>
              <a:ea typeface="+mn-ea"/>
              <a:cs typeface="+mn-cs"/>
            </a:rPr>
            <a:t>[+] = Expand individual group</a:t>
          </a:r>
          <a:endParaRPr lang="de-DE" sz="1100">
            <a:solidFill>
              <a:schemeClr val="dk1"/>
            </a:solidFill>
            <a:latin typeface="+mn-lt"/>
            <a:ea typeface="+mn-ea"/>
            <a:cs typeface="+mn-cs"/>
          </a:endParaRPr>
        </a:p>
      </xdr:txBody>
    </xdr:sp>
    <xdr:clientData/>
  </xdr:twoCellAnchor>
  <xdr:twoCellAnchor editAs="oneCell">
    <xdr:from>
      <xdr:col>1</xdr:col>
      <xdr:colOff>52387</xdr:colOff>
      <xdr:row>61</xdr:row>
      <xdr:rowOff>38100</xdr:rowOff>
    </xdr:from>
    <xdr:to>
      <xdr:col>1</xdr:col>
      <xdr:colOff>366215</xdr:colOff>
      <xdr:row>64</xdr:row>
      <xdr:rowOff>44508</xdr:rowOff>
    </xdr:to>
    <xdr:pic>
      <xdr:nvPicPr>
        <xdr:cNvPr id="4097" name="Picture 1"/>
        <xdr:cNvPicPr>
          <a:picLocks noChangeAspect="1" noChangeArrowheads="1"/>
        </xdr:cNvPicPr>
      </xdr:nvPicPr>
      <xdr:blipFill>
        <a:blip xmlns:r="http://schemas.openxmlformats.org/officeDocument/2006/relationships" r:embed="rId11" cstate="print"/>
        <a:srcRect l="38716" t="5966" r="58241" b="86317"/>
        <a:stretch>
          <a:fillRect/>
        </a:stretch>
      </xdr:blipFill>
      <xdr:spPr bwMode="auto">
        <a:xfrm>
          <a:off x="452437" y="11068050"/>
          <a:ext cx="313828" cy="492183"/>
        </a:xfrm>
        <a:prstGeom prst="rect">
          <a:avLst/>
        </a:prstGeom>
        <a:noFill/>
        <a:ln w="1">
          <a:noFill/>
          <a:miter lim="800000"/>
          <a:headEnd/>
          <a:tailEnd type="none" w="med" len="med"/>
        </a:ln>
        <a:effectLst/>
      </xdr:spPr>
    </xdr:pic>
    <xdr:clientData/>
  </xdr:twoCellAnchor>
  <xdr:twoCellAnchor editAs="oneCell">
    <xdr:from>
      <xdr:col>1</xdr:col>
      <xdr:colOff>496019</xdr:colOff>
      <xdr:row>61</xdr:row>
      <xdr:rowOff>46726</xdr:rowOff>
    </xdr:from>
    <xdr:to>
      <xdr:col>1</xdr:col>
      <xdr:colOff>916557</xdr:colOff>
      <xdr:row>64</xdr:row>
      <xdr:rowOff>57509</xdr:rowOff>
    </xdr:to>
    <xdr:pic>
      <xdr:nvPicPr>
        <xdr:cNvPr id="4098" name="Picture 2"/>
        <xdr:cNvPicPr>
          <a:picLocks noChangeAspect="1" noChangeArrowheads="1"/>
        </xdr:cNvPicPr>
      </xdr:nvPicPr>
      <xdr:blipFill>
        <a:blip xmlns:r="http://schemas.openxmlformats.org/officeDocument/2006/relationships" r:embed="rId12" cstate="print"/>
        <a:srcRect l="38668" t="5902" r="57255" b="86374"/>
        <a:stretch>
          <a:fillRect/>
        </a:stretch>
      </xdr:blipFill>
      <xdr:spPr bwMode="auto">
        <a:xfrm>
          <a:off x="894991" y="11074160"/>
          <a:ext cx="420538" cy="496019"/>
        </a:xfrm>
        <a:prstGeom prst="rect">
          <a:avLst/>
        </a:prstGeom>
        <a:noFill/>
        <a:ln w="1">
          <a:noFill/>
          <a:miter lim="800000"/>
          <a:headEnd/>
          <a:tailEnd type="none" w="med" len="med"/>
        </a:ln>
        <a:effec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47625</xdr:colOff>
          <xdr:row>4</xdr:row>
          <xdr:rowOff>0</xdr:rowOff>
        </xdr:from>
        <xdr:to>
          <xdr:col>4</xdr:col>
          <xdr:colOff>790575</xdr:colOff>
          <xdr:row>5</xdr:row>
          <xdr:rowOff>47625</xdr:rowOff>
        </xdr:to>
        <xdr:sp macro="" textlink="">
          <xdr:nvSpPr>
            <xdr:cNvPr id="2087" name="btnMandatory" hidden="1">
              <a:extLst>
                <a:ext uri="{63B3BB69-23CF-44E3-9099-C40C66FF867C}">
                  <a14:compatExt spid="_x0000_s2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6</xdr:row>
          <xdr:rowOff>0</xdr:rowOff>
        </xdr:from>
        <xdr:to>
          <xdr:col>4</xdr:col>
          <xdr:colOff>790575</xdr:colOff>
          <xdr:row>7</xdr:row>
          <xdr:rowOff>47625</xdr:rowOff>
        </xdr:to>
        <xdr:sp macro="" textlink="">
          <xdr:nvSpPr>
            <xdr:cNvPr id="2089" name="btnRecommended" hidden="1">
              <a:extLst>
                <a:ext uri="{63B3BB69-23CF-44E3-9099-C40C66FF867C}">
                  <a14:compatExt spid="_x0000_s20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8</xdr:row>
          <xdr:rowOff>0</xdr:rowOff>
        </xdr:from>
        <xdr:to>
          <xdr:col>4</xdr:col>
          <xdr:colOff>790575</xdr:colOff>
          <xdr:row>9</xdr:row>
          <xdr:rowOff>47625</xdr:rowOff>
        </xdr:to>
        <xdr:sp macro="" textlink="">
          <xdr:nvSpPr>
            <xdr:cNvPr id="2090" name="btnResetFilter" hidden="1">
              <a:extLst>
                <a:ext uri="{63B3BB69-23CF-44E3-9099-C40C66FF867C}">
                  <a14:compatExt spid="_x0000_s20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5</xdr:col>
          <xdr:colOff>0</xdr:colOff>
          <xdr:row>9</xdr:row>
          <xdr:rowOff>114300</xdr:rowOff>
        </xdr:to>
        <xdr:sp macro="" textlink="">
          <xdr:nvSpPr>
            <xdr:cNvPr id="2093" name="Group Box 45" hidden="1">
              <a:extLst>
                <a:ext uri="{63B3BB69-23CF-44E3-9099-C40C66FF867C}">
                  <a14:compatExt spid="_x0000_s209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IN" sz="800" b="0" i="0" u="none" strike="noStrike" baseline="0">
                  <a:solidFill>
                    <a:srgbClr val="000000"/>
                  </a:solidFill>
                  <a:latin typeface="Tahoma"/>
                  <a:ea typeface="Tahoma"/>
                  <a:cs typeface="Tahoma"/>
                </a:rPr>
                <a:t>Filter criteria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1</xdr:row>
          <xdr:rowOff>0</xdr:rowOff>
        </xdr:from>
        <xdr:to>
          <xdr:col>4</xdr:col>
          <xdr:colOff>790575</xdr:colOff>
          <xdr:row>2</xdr:row>
          <xdr:rowOff>0</xdr:rowOff>
        </xdr:to>
        <xdr:sp macro="" textlink="">
          <xdr:nvSpPr>
            <xdr:cNvPr id="2094" name="btnResetRating" hidden="1">
              <a:extLst>
                <a:ext uri="{63B3BB69-23CF-44E3-9099-C40C66FF867C}">
                  <a14:compatExt spid="_x0000_s20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image" Target="../media/image15.emf"/><Relationship Id="rId13" Type="http://schemas.openxmlformats.org/officeDocument/2006/relationships/ctrlProp" Target="../ctrlProps/ctrlProp1.xml"/><Relationship Id="rId3" Type="http://schemas.openxmlformats.org/officeDocument/2006/relationships/vmlDrawing" Target="../drawings/vmlDrawing2.vml"/><Relationship Id="rId7" Type="http://schemas.openxmlformats.org/officeDocument/2006/relationships/control" Target="../activeX/activeX2.xml"/><Relationship Id="rId12" Type="http://schemas.openxmlformats.org/officeDocument/2006/relationships/image" Target="../media/image17.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image" Target="../media/image14.emf"/><Relationship Id="rId11" Type="http://schemas.openxmlformats.org/officeDocument/2006/relationships/control" Target="../activeX/activeX4.xml"/><Relationship Id="rId5" Type="http://schemas.openxmlformats.org/officeDocument/2006/relationships/control" Target="../activeX/activeX1.xml"/><Relationship Id="rId10" Type="http://schemas.openxmlformats.org/officeDocument/2006/relationships/image" Target="../media/image16.emf"/><Relationship Id="rId4" Type="http://schemas.openxmlformats.org/officeDocument/2006/relationships/vmlDrawing" Target="../drawings/vmlDrawing3.vml"/><Relationship Id="rId9" Type="http://schemas.openxmlformats.org/officeDocument/2006/relationships/control" Target="../activeX/activeX3.xml"/><Relationship Id="rId1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70"/>
  <sheetViews>
    <sheetView tabSelected="1" zoomScale="115" zoomScaleNormal="115" workbookViewId="0"/>
  </sheetViews>
  <sheetFormatPr defaultRowHeight="12.75" x14ac:dyDescent="0.2"/>
  <cols>
    <col min="1" max="1" width="6" style="2" customWidth="1"/>
    <col min="2" max="2" width="18.5703125" style="2" customWidth="1"/>
    <col min="3" max="3" width="93" style="2" customWidth="1"/>
    <col min="4" max="16384" width="9.140625" style="1"/>
  </cols>
  <sheetData>
    <row r="1" spans="1:8" ht="18.75" x14ac:dyDescent="0.3">
      <c r="A1" s="5" t="s">
        <v>124</v>
      </c>
      <c r="B1" s="5"/>
      <c r="C1" s="5"/>
    </row>
    <row r="3" spans="1:8" ht="26.25" thickBot="1" x14ac:dyDescent="0.35">
      <c r="C3" s="4" t="s">
        <v>131</v>
      </c>
      <c r="E3" s="86" t="s">
        <v>176</v>
      </c>
      <c r="F3" s="86"/>
      <c r="G3" s="86"/>
      <c r="H3" s="86"/>
    </row>
    <row r="4" spans="1:8" ht="13.5" thickTop="1" x14ac:dyDescent="0.2">
      <c r="C4" s="4"/>
    </row>
    <row r="5" spans="1:8" x14ac:dyDescent="0.2">
      <c r="C5" s="4" t="s">
        <v>154</v>
      </c>
    </row>
    <row r="6" spans="1:8" x14ac:dyDescent="0.2">
      <c r="B6" s="12" t="s">
        <v>141</v>
      </c>
      <c r="C6" s="4" t="s">
        <v>155</v>
      </c>
    </row>
    <row r="7" spans="1:8" ht="15.75" x14ac:dyDescent="0.2">
      <c r="B7" s="13">
        <v>3</v>
      </c>
      <c r="C7" s="7" t="s">
        <v>152</v>
      </c>
    </row>
    <row r="8" spans="1:8" ht="15.75" x14ac:dyDescent="0.2">
      <c r="B8" s="17" t="s">
        <v>2</v>
      </c>
      <c r="C8" s="7" t="s">
        <v>146</v>
      </c>
    </row>
    <row r="9" spans="1:8" x14ac:dyDescent="0.2">
      <c r="B9" s="18">
        <v>3.2699999999999996</v>
      </c>
      <c r="C9" s="7" t="s">
        <v>156</v>
      </c>
    </row>
    <row r="10" spans="1:8" x14ac:dyDescent="0.2">
      <c r="B10" s="14">
        <v>3.25</v>
      </c>
      <c r="C10" s="7" t="s">
        <v>157</v>
      </c>
    </row>
    <row r="11" spans="1:8" x14ac:dyDescent="0.2">
      <c r="B11" s="11" t="s">
        <v>102</v>
      </c>
      <c r="C11" s="7" t="s">
        <v>153</v>
      </c>
    </row>
    <row r="12" spans="1:8" x14ac:dyDescent="0.2">
      <c r="B12" s="15">
        <v>0</v>
      </c>
      <c r="C12" s="7" t="s">
        <v>158</v>
      </c>
    </row>
    <row r="13" spans="1:8" x14ac:dyDescent="0.2">
      <c r="B13" s="16" t="s">
        <v>151</v>
      </c>
      <c r="C13" s="7" t="s">
        <v>159</v>
      </c>
    </row>
    <row r="14" spans="1:8" x14ac:dyDescent="0.2">
      <c r="B14" s="1"/>
      <c r="C14" s="1"/>
    </row>
    <row r="15" spans="1:8" ht="21" customHeight="1" x14ac:dyDescent="0.2"/>
    <row r="16" spans="1:8" ht="24" x14ac:dyDescent="0.2">
      <c r="A16" s="3"/>
      <c r="B16" s="3"/>
      <c r="C16" s="4" t="s">
        <v>136</v>
      </c>
    </row>
    <row r="17" spans="1:3" x14ac:dyDescent="0.2">
      <c r="A17" s="3"/>
      <c r="B17" s="3"/>
      <c r="C17" s="7" t="s">
        <v>125</v>
      </c>
    </row>
    <row r="18" spans="1:3" x14ac:dyDescent="0.2">
      <c r="A18" s="3"/>
      <c r="B18" s="3"/>
      <c r="C18" s="7" t="s">
        <v>126</v>
      </c>
    </row>
    <row r="19" spans="1:3" x14ac:dyDescent="0.2">
      <c r="A19" s="3"/>
      <c r="B19" s="3"/>
      <c r="C19" s="7" t="s">
        <v>127</v>
      </c>
    </row>
    <row r="20" spans="1:3" x14ac:dyDescent="0.2">
      <c r="C20" s="8" t="s">
        <v>134</v>
      </c>
    </row>
    <row r="21" spans="1:3" x14ac:dyDescent="0.2">
      <c r="C21" s="8"/>
    </row>
    <row r="22" spans="1:3" x14ac:dyDescent="0.2">
      <c r="C22" s="8"/>
    </row>
    <row r="23" spans="1:3" x14ac:dyDescent="0.2">
      <c r="C23" s="8"/>
    </row>
    <row r="24" spans="1:3" x14ac:dyDescent="0.2">
      <c r="C24" s="8"/>
    </row>
    <row r="25" spans="1:3" ht="15.75" customHeight="1" x14ac:dyDescent="0.2">
      <c r="B25" s="1"/>
      <c r="C25" s="4" t="s">
        <v>137</v>
      </c>
    </row>
    <row r="26" spans="1:3" x14ac:dyDescent="0.2">
      <c r="B26" s="1"/>
      <c r="C26" s="8" t="s">
        <v>148</v>
      </c>
    </row>
    <row r="27" spans="1:3" x14ac:dyDescent="0.2">
      <c r="B27" s="1"/>
      <c r="C27" s="8" t="s">
        <v>149</v>
      </c>
    </row>
    <row r="28" spans="1:3" x14ac:dyDescent="0.2">
      <c r="B28" s="1"/>
      <c r="C28" s="8" t="s">
        <v>150</v>
      </c>
    </row>
    <row r="29" spans="1:3" x14ac:dyDescent="0.2">
      <c r="B29" s="1"/>
      <c r="C29" s="4"/>
    </row>
    <row r="30" spans="1:3" x14ac:dyDescent="0.2">
      <c r="A30" s="3"/>
      <c r="B30" s="3"/>
      <c r="C30" s="6" t="s">
        <v>132</v>
      </c>
    </row>
    <row r="31" spans="1:3" x14ac:dyDescent="0.2">
      <c r="C31" s="8" t="s">
        <v>133</v>
      </c>
    </row>
    <row r="32" spans="1:3" x14ac:dyDescent="0.2">
      <c r="A32" s="3"/>
      <c r="B32" s="3"/>
      <c r="C32" s="8" t="s">
        <v>135</v>
      </c>
    </row>
    <row r="33" spans="1:3" x14ac:dyDescent="0.2">
      <c r="C33" s="8" t="s">
        <v>160</v>
      </c>
    </row>
    <row r="34" spans="1:3" x14ac:dyDescent="0.2">
      <c r="A34" s="3"/>
      <c r="B34" s="3"/>
    </row>
    <row r="35" spans="1:3" x14ac:dyDescent="0.2">
      <c r="A35" s="3"/>
      <c r="B35" s="3"/>
    </row>
    <row r="36" spans="1:3" x14ac:dyDescent="0.2">
      <c r="A36" s="3"/>
      <c r="B36" s="3"/>
    </row>
    <row r="37" spans="1:3" ht="36" x14ac:dyDescent="0.2">
      <c r="C37" s="4" t="s">
        <v>128</v>
      </c>
    </row>
    <row r="38" spans="1:3" x14ac:dyDescent="0.2">
      <c r="C38" s="8" t="s">
        <v>163</v>
      </c>
    </row>
    <row r="39" spans="1:3" x14ac:dyDescent="0.2">
      <c r="C39" s="8" t="s">
        <v>162</v>
      </c>
    </row>
    <row r="40" spans="1:3" x14ac:dyDescent="0.2">
      <c r="C40" s="3"/>
    </row>
    <row r="41" spans="1:3" x14ac:dyDescent="0.2">
      <c r="C41" s="4" t="s">
        <v>138</v>
      </c>
    </row>
    <row r="42" spans="1:3" x14ac:dyDescent="0.2">
      <c r="C42" s="7" t="s">
        <v>140</v>
      </c>
    </row>
    <row r="43" spans="1:3" x14ac:dyDescent="0.2">
      <c r="C43" s="7" t="s">
        <v>139</v>
      </c>
    </row>
    <row r="44" spans="1:3" x14ac:dyDescent="0.2">
      <c r="C44" s="3"/>
    </row>
    <row r="45" spans="1:3" x14ac:dyDescent="0.2">
      <c r="C45" s="3"/>
    </row>
    <row r="46" spans="1:3" x14ac:dyDescent="0.2">
      <c r="C46" s="3"/>
    </row>
    <row r="47" spans="1:3" ht="24" x14ac:dyDescent="0.2">
      <c r="C47" s="4" t="s">
        <v>129</v>
      </c>
    </row>
    <row r="48" spans="1:3" x14ac:dyDescent="0.2">
      <c r="C48" s="1"/>
    </row>
    <row r="49" spans="2:3" x14ac:dyDescent="0.2">
      <c r="C49" s="1"/>
    </row>
    <row r="50" spans="2:3" x14ac:dyDescent="0.2">
      <c r="C50" s="3"/>
    </row>
    <row r="51" spans="2:3" x14ac:dyDescent="0.2">
      <c r="C51" s="4" t="s">
        <v>161</v>
      </c>
    </row>
    <row r="52" spans="2:3" ht="15" x14ac:dyDescent="0.2">
      <c r="B52" s="9">
        <v>1.5</v>
      </c>
      <c r="C52" s="7" t="s">
        <v>142</v>
      </c>
    </row>
    <row r="53" spans="2:3" ht="15" x14ac:dyDescent="0.2">
      <c r="B53" s="9">
        <v>3.5</v>
      </c>
      <c r="C53" s="7" t="s">
        <v>143</v>
      </c>
    </row>
    <row r="54" spans="2:3" ht="15.75" thickBot="1" x14ac:dyDescent="0.25">
      <c r="B54" s="9">
        <v>6.5</v>
      </c>
      <c r="C54" s="7" t="s">
        <v>144</v>
      </c>
    </row>
    <row r="55" spans="2:3" ht="15.75" thickBot="1" x14ac:dyDescent="0.25">
      <c r="B55" s="10">
        <v>5.43</v>
      </c>
      <c r="C55" s="7" t="s">
        <v>147</v>
      </c>
    </row>
    <row r="56" spans="2:3" x14ac:dyDescent="0.2">
      <c r="C56" s="3"/>
    </row>
    <row r="57" spans="2:3" x14ac:dyDescent="0.2">
      <c r="C57" s="1"/>
    </row>
    <row r="58" spans="2:3" x14ac:dyDescent="0.2">
      <c r="C58" s="4" t="s">
        <v>130</v>
      </c>
    </row>
    <row r="62" spans="2:3" x14ac:dyDescent="0.2">
      <c r="C62" s="4" t="s">
        <v>171</v>
      </c>
    </row>
    <row r="63" spans="2:3" x14ac:dyDescent="0.2">
      <c r="C63" s="4" t="s">
        <v>172</v>
      </c>
    </row>
    <row r="64" spans="2:3" x14ac:dyDescent="0.2">
      <c r="C64" s="4" t="s">
        <v>173</v>
      </c>
    </row>
    <row r="65" spans="3:3" x14ac:dyDescent="0.2">
      <c r="C65" s="7" t="s">
        <v>174</v>
      </c>
    </row>
    <row r="68" spans="3:3" ht="15.75" x14ac:dyDescent="0.25">
      <c r="C68" s="19" t="s">
        <v>165</v>
      </c>
    </row>
    <row r="69" spans="3:3" x14ac:dyDescent="0.2">
      <c r="C69" s="7" t="s">
        <v>175</v>
      </c>
    </row>
    <row r="70" spans="3:3" x14ac:dyDescent="0.2">
      <c r="C70" s="7" t="s">
        <v>177</v>
      </c>
    </row>
  </sheetData>
  <sheetProtection selectLockedCells="1"/>
  <conditionalFormatting sqref="B55">
    <cfRule type="expression" dxfId="16" priority="3">
      <formula>ISERROR($K$2)</formula>
    </cfRule>
  </conditionalFormatting>
  <conditionalFormatting sqref="B55">
    <cfRule type="iconSet" priority="2">
      <iconSet iconSet="3Symbols" reverse="1">
        <cfvo type="percent" val="0"/>
        <cfvo type="num" val="3"/>
        <cfvo type="num" val="6"/>
      </iconSet>
    </cfRule>
  </conditionalFormatting>
  <conditionalFormatting sqref="B52:B54">
    <cfRule type="iconSet" priority="6">
      <iconSet iconSet="3Symbols" reverse="1">
        <cfvo type="percent" val="0"/>
        <cfvo type="num" val="3"/>
        <cfvo type="num" val="6"/>
      </iconSet>
    </cfRule>
  </conditionalFormatting>
  <conditionalFormatting sqref="B10">
    <cfRule type="iconSet" priority="1">
      <iconSet iconSet="3Symbols" reverse="1">
        <cfvo type="percent" val="0"/>
        <cfvo type="num" val="3"/>
        <cfvo type="num" val="6"/>
      </iconSet>
    </cfRule>
  </conditionalFormatting>
  <pageMargins left="0.7" right="0.7" top="0.75" bottom="0.75" header="0.3" footer="0.3"/>
  <pageSetup orientation="portrait" r:id="rId1"/>
  <headerFooter>
    <oddHeader>&amp;L&amp;G&amp;C&amp;14Complexity Assessment&amp;10
Proprietary and Confidential&amp;RPage
&amp;P of &amp;N</oddHeader>
    <oddFooter>&amp;LPM2_Initiation Phase_Complexity Assessment_V1.0.xlsm</oddFooter>
  </headerFooter>
  <drawing r:id="rId2"/>
  <legacyDrawingHF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FFFF00"/>
    <outlinePr summaryBelow="0" summaryRight="0"/>
    <pageSetUpPr fitToPage="1"/>
  </sheetPr>
  <dimension ref="B1:AG125"/>
  <sheetViews>
    <sheetView zoomScaleNormal="100" zoomScalePageLayoutView="70" workbookViewId="0"/>
  </sheetViews>
  <sheetFormatPr defaultColWidth="11.42578125" defaultRowHeight="12.75" outlineLevelRow="2" outlineLevelCol="1" x14ac:dyDescent="0.2"/>
  <cols>
    <col min="1" max="1" width="2.7109375" style="74" customWidth="1"/>
    <col min="2" max="4" width="3.42578125" style="20" customWidth="1" outlineLevel="1"/>
    <col min="5" max="5" width="15" style="77" customWidth="1"/>
    <col min="6" max="6" width="5" style="20" customWidth="1"/>
    <col min="7" max="7" width="18.28515625" style="40" customWidth="1"/>
    <col min="8" max="8" width="48.42578125" style="23" customWidth="1"/>
    <col min="9" max="9" width="25.7109375" style="81" customWidth="1" outlineLevel="1"/>
    <col min="10" max="10" width="11.7109375" style="82" bestFit="1" customWidth="1"/>
    <col min="11" max="11" width="12.85546875" style="26" bestFit="1" customWidth="1"/>
    <col min="12" max="12" width="10.28515625" style="27" customWidth="1"/>
    <col min="13" max="13" width="48.5703125" style="83" customWidth="1" outlineLevel="1"/>
    <col min="14" max="31" width="5.28515625" style="27" customWidth="1"/>
    <col min="32" max="32" width="5.28515625" style="74" customWidth="1"/>
    <col min="33" max="33" width="0" style="74" hidden="1" customWidth="1"/>
    <col min="34" max="16384" width="11.42578125" style="74"/>
  </cols>
  <sheetData>
    <row r="1" spans="2:33" s="22" customFormat="1" ht="13.5" thickBot="1" x14ac:dyDescent="0.25">
      <c r="B1" s="20"/>
      <c r="C1" s="20"/>
      <c r="D1" s="20"/>
      <c r="E1" s="21"/>
      <c r="F1" s="20"/>
      <c r="H1" s="23"/>
      <c r="I1" s="24"/>
      <c r="J1" s="25"/>
      <c r="K1" s="26"/>
      <c r="L1" s="27"/>
      <c r="M1" s="28"/>
      <c r="N1" s="27"/>
      <c r="O1" s="27"/>
      <c r="P1" s="27"/>
      <c r="Q1" s="27"/>
      <c r="R1" s="27"/>
      <c r="S1" s="27"/>
      <c r="T1" s="27"/>
      <c r="U1" s="27"/>
      <c r="V1" s="27"/>
      <c r="W1" s="27"/>
      <c r="X1" s="27"/>
      <c r="Y1" s="27"/>
      <c r="Z1" s="27"/>
      <c r="AA1" s="27"/>
      <c r="AB1" s="27"/>
      <c r="AC1" s="27"/>
      <c r="AD1" s="27"/>
      <c r="AE1" s="27"/>
    </row>
    <row r="2" spans="2:33" s="22" customFormat="1" ht="19.5" thickBot="1" x14ac:dyDescent="0.25">
      <c r="B2" s="20"/>
      <c r="C2" s="20"/>
      <c r="E2" s="21"/>
      <c r="F2" s="20"/>
      <c r="H2" s="23"/>
      <c r="I2" s="24"/>
      <c r="J2" s="29" t="s">
        <v>122</v>
      </c>
      <c r="K2" s="30" t="e">
        <f>IF(AND($L$11=100%,$K$11=0),SUMIF($E14:$E125,"&gt;""""",M14:M125),NA())</f>
        <v>#N/A</v>
      </c>
      <c r="M2" s="28"/>
      <c r="O2" s="27"/>
      <c r="P2" s="27"/>
      <c r="Q2" s="27"/>
      <c r="S2" s="27"/>
      <c r="T2" s="27"/>
      <c r="U2" s="27"/>
      <c r="V2" s="27"/>
      <c r="W2" s="27"/>
      <c r="X2" s="27"/>
      <c r="Y2" s="27"/>
      <c r="Z2" s="27"/>
      <c r="AA2" s="27"/>
      <c r="AB2" s="27"/>
      <c r="AC2" s="27"/>
      <c r="AD2" s="27"/>
      <c r="AE2" s="27"/>
    </row>
    <row r="3" spans="2:33" s="22" customFormat="1" ht="15.75" thickBot="1" x14ac:dyDescent="0.3">
      <c r="B3" s="20"/>
      <c r="D3" s="20"/>
      <c r="E3" s="21"/>
      <c r="F3" s="20"/>
      <c r="G3" s="31" t="s">
        <v>107</v>
      </c>
      <c r="H3" s="84" t="s">
        <v>111</v>
      </c>
      <c r="J3" s="32" t="s">
        <v>164</v>
      </c>
      <c r="N3" s="33"/>
      <c r="P3" s="27"/>
      <c r="Q3" s="27"/>
      <c r="R3" s="27"/>
      <c r="S3" s="27"/>
      <c r="T3" s="27"/>
      <c r="U3" s="27"/>
      <c r="V3" s="27"/>
      <c r="W3" s="27"/>
      <c r="X3" s="27"/>
      <c r="Y3" s="27"/>
      <c r="Z3" s="27"/>
      <c r="AA3" s="27"/>
      <c r="AB3" s="27"/>
      <c r="AC3" s="27"/>
      <c r="AD3" s="27"/>
      <c r="AE3" s="27"/>
    </row>
    <row r="4" spans="2:33" s="22" customFormat="1" ht="13.5" outlineLevel="1" thickBot="1" x14ac:dyDescent="0.25">
      <c r="B4" s="20"/>
      <c r="C4" s="20"/>
      <c r="D4" s="20"/>
      <c r="E4" s="21"/>
      <c r="F4" s="20"/>
      <c r="H4" s="23"/>
      <c r="I4" s="20"/>
      <c r="J4" s="34" t="str">
        <f>E14</f>
        <v>Scope</v>
      </c>
      <c r="K4" s="35">
        <f>J14</f>
        <v>0</v>
      </c>
      <c r="L4" s="36">
        <v>0.3</v>
      </c>
      <c r="N4" s="27"/>
      <c r="O4" s="27"/>
      <c r="Q4" s="27"/>
      <c r="R4" s="27"/>
      <c r="S4" s="27"/>
      <c r="T4" s="27"/>
      <c r="U4" s="27"/>
      <c r="V4" s="27"/>
      <c r="W4" s="27"/>
      <c r="X4" s="27"/>
      <c r="Y4" s="27"/>
      <c r="Z4" s="27"/>
      <c r="AA4" s="27"/>
      <c r="AB4" s="27"/>
      <c r="AC4" s="27"/>
      <c r="AD4" s="27"/>
      <c r="AE4" s="27"/>
    </row>
    <row r="5" spans="2:33" s="22" customFormat="1" ht="15.75" outlineLevel="1" thickBot="1" x14ac:dyDescent="0.25">
      <c r="B5" s="20"/>
      <c r="C5" s="20"/>
      <c r="D5" s="20"/>
      <c r="E5" s="21"/>
      <c r="F5" s="20"/>
      <c r="G5" s="31" t="s">
        <v>21</v>
      </c>
      <c r="H5" s="84" t="s">
        <v>113</v>
      </c>
      <c r="J5" s="34" t="str">
        <f>E30</f>
        <v>Schedule</v>
      </c>
      <c r="K5" s="35">
        <f>J30</f>
        <v>0</v>
      </c>
      <c r="L5" s="37">
        <v>0.2</v>
      </c>
      <c r="N5" s="27"/>
      <c r="O5" s="27"/>
      <c r="P5" s="27"/>
      <c r="R5" s="27"/>
      <c r="S5" s="27"/>
      <c r="T5" s="27"/>
      <c r="U5" s="27"/>
      <c r="V5" s="27"/>
      <c r="W5" s="27"/>
      <c r="X5" s="27"/>
      <c r="Y5" s="27"/>
      <c r="Z5" s="27"/>
      <c r="AA5" s="27"/>
      <c r="AB5" s="27"/>
      <c r="AC5" s="27"/>
      <c r="AD5" s="27"/>
      <c r="AE5" s="27"/>
    </row>
    <row r="6" spans="2:33" s="22" customFormat="1" ht="13.5" outlineLevel="1" thickBot="1" x14ac:dyDescent="0.25">
      <c r="B6" s="20"/>
      <c r="C6" s="20"/>
      <c r="D6" s="20"/>
      <c r="E6" s="21"/>
      <c r="F6" s="20"/>
      <c r="H6" s="23"/>
      <c r="J6" s="34" t="str">
        <f>E46</f>
        <v>Funding</v>
      </c>
      <c r="K6" s="35">
        <f>J46</f>
        <v>0</v>
      </c>
      <c r="L6" s="37">
        <v>0.2</v>
      </c>
      <c r="N6" s="27"/>
      <c r="O6" s="27"/>
      <c r="P6" s="27"/>
      <c r="Q6" s="27"/>
      <c r="R6" s="27"/>
      <c r="S6" s="27"/>
      <c r="T6" s="27"/>
      <c r="U6" s="27"/>
      <c r="V6" s="27"/>
      <c r="W6" s="27"/>
      <c r="X6" s="27"/>
      <c r="Y6" s="27"/>
      <c r="Z6" s="27"/>
      <c r="AA6" s="27"/>
      <c r="AB6" s="27"/>
      <c r="AC6" s="27"/>
      <c r="AD6" s="27"/>
      <c r="AE6" s="27"/>
    </row>
    <row r="7" spans="2:33" s="22" customFormat="1" ht="15.75" outlineLevel="1" thickBot="1" x14ac:dyDescent="0.25">
      <c r="B7" s="20"/>
      <c r="C7" s="20"/>
      <c r="D7" s="20"/>
      <c r="E7" s="38">
        <f>MATCH($H$7,$B$13:$E$13,0)</f>
        <v>1</v>
      </c>
      <c r="F7" s="20"/>
      <c r="G7" s="31" t="s">
        <v>108</v>
      </c>
      <c r="H7" s="84" t="s">
        <v>71</v>
      </c>
      <c r="J7" s="34" t="str">
        <f>E62</f>
        <v>Risk</v>
      </c>
      <c r="K7" s="35">
        <f>J62</f>
        <v>0</v>
      </c>
      <c r="L7" s="37">
        <v>0.2</v>
      </c>
      <c r="N7" s="27"/>
      <c r="O7" s="27"/>
      <c r="P7" s="27"/>
      <c r="Q7" s="27"/>
      <c r="R7" s="27"/>
      <c r="S7" s="27"/>
      <c r="T7" s="27"/>
      <c r="U7" s="27"/>
      <c r="V7" s="27"/>
      <c r="W7" s="27"/>
      <c r="X7" s="27"/>
      <c r="Y7" s="27"/>
      <c r="Z7" s="27"/>
      <c r="AA7" s="27"/>
      <c r="AB7" s="27"/>
      <c r="AC7" s="27"/>
      <c r="AD7" s="27"/>
      <c r="AE7" s="27"/>
    </row>
    <row r="8" spans="2:33" s="22" customFormat="1" ht="13.5" outlineLevel="1" thickBot="1" x14ac:dyDescent="0.25">
      <c r="B8" s="20"/>
      <c r="C8" s="20"/>
      <c r="D8" s="20"/>
      <c r="E8" s="21"/>
      <c r="F8" s="20"/>
      <c r="G8" s="21"/>
      <c r="H8" s="21"/>
      <c r="J8" s="34" t="str">
        <f>E78</f>
        <v>Program</v>
      </c>
      <c r="K8" s="35">
        <f>J78</f>
        <v>0</v>
      </c>
      <c r="L8" s="37">
        <v>0.1</v>
      </c>
      <c r="N8" s="27"/>
      <c r="O8" s="27"/>
      <c r="P8" s="27"/>
      <c r="Q8" s="27"/>
      <c r="R8" s="27"/>
      <c r="S8" s="27"/>
      <c r="T8" s="27"/>
      <c r="U8" s="27"/>
      <c r="V8" s="27"/>
      <c r="W8" s="27"/>
      <c r="X8" s="27"/>
      <c r="Y8" s="27"/>
      <c r="Z8" s="27"/>
      <c r="AA8" s="27"/>
      <c r="AB8" s="27"/>
      <c r="AC8" s="27"/>
      <c r="AD8" s="27"/>
      <c r="AE8" s="27"/>
    </row>
    <row r="9" spans="2:33" s="22" customFormat="1" ht="15.75" outlineLevel="1" thickBot="1" x14ac:dyDescent="0.25">
      <c r="B9" s="20"/>
      <c r="C9" s="20"/>
      <c r="D9" s="20"/>
      <c r="E9" s="21"/>
      <c r="F9" s="21"/>
      <c r="G9" s="31" t="s">
        <v>112</v>
      </c>
      <c r="H9" s="84" t="s">
        <v>170</v>
      </c>
      <c r="J9" s="34" t="str">
        <f>E94</f>
        <v>Reserve 1</v>
      </c>
      <c r="K9" s="35">
        <f>J94</f>
        <v>0</v>
      </c>
      <c r="L9" s="37">
        <v>0</v>
      </c>
      <c r="N9" s="27"/>
      <c r="O9" s="27"/>
      <c r="P9" s="27"/>
      <c r="Q9" s="27"/>
      <c r="R9" s="27"/>
      <c r="S9" s="27"/>
      <c r="T9" s="27"/>
      <c r="U9" s="27"/>
      <c r="V9" s="27"/>
      <c r="W9" s="27"/>
      <c r="X9" s="27"/>
      <c r="Y9" s="27"/>
      <c r="Z9" s="27"/>
      <c r="AA9" s="27"/>
      <c r="AB9" s="27"/>
      <c r="AC9" s="27"/>
      <c r="AD9" s="27"/>
      <c r="AE9" s="27"/>
    </row>
    <row r="10" spans="2:33" s="22" customFormat="1" ht="13.5" outlineLevel="1" thickBot="1" x14ac:dyDescent="0.25">
      <c r="B10" s="20"/>
      <c r="C10" s="20"/>
      <c r="D10" s="20"/>
      <c r="E10" s="21"/>
      <c r="F10" s="20"/>
      <c r="J10" s="34" t="str">
        <f>E110</f>
        <v>Reserve 2</v>
      </c>
      <c r="K10" s="35">
        <f>J110</f>
        <v>0</v>
      </c>
      <c r="L10" s="39">
        <v>0</v>
      </c>
      <c r="N10" s="27"/>
      <c r="O10" s="27"/>
      <c r="P10" s="27"/>
      <c r="Q10" s="27"/>
      <c r="R10" s="27"/>
      <c r="S10" s="27"/>
      <c r="T10" s="27"/>
      <c r="U10" s="27"/>
      <c r="V10" s="27"/>
      <c r="W10" s="27"/>
      <c r="X10" s="27"/>
      <c r="Y10" s="27"/>
      <c r="Z10" s="27"/>
      <c r="AA10" s="27"/>
      <c r="AB10" s="27"/>
      <c r="AC10" s="27"/>
      <c r="AD10" s="27"/>
      <c r="AE10" s="27"/>
    </row>
    <row r="11" spans="2:33" s="22" customFormat="1" x14ac:dyDescent="0.2">
      <c r="B11" s="20"/>
      <c r="C11" s="20"/>
      <c r="D11" s="20"/>
      <c r="E11" s="21"/>
      <c r="F11" s="20"/>
      <c r="G11" s="40"/>
      <c r="H11" s="23"/>
      <c r="I11" s="24"/>
      <c r="K11" s="41">
        <f t="array" ref="K11">SUM(IF(K15:K20&lt;&gt;0,IF(J15:J20=0,1,0),0))</f>
        <v>6</v>
      </c>
      <c r="L11" s="42">
        <f>SUM(L4:L10)</f>
        <v>0.99999999999999989</v>
      </c>
      <c r="N11" s="27"/>
      <c r="O11" s="27"/>
      <c r="P11" s="27"/>
      <c r="Q11" s="27"/>
      <c r="R11" s="27"/>
      <c r="S11" s="27"/>
      <c r="T11" s="27"/>
      <c r="U11" s="27"/>
      <c r="V11" s="27"/>
      <c r="W11" s="27"/>
      <c r="X11" s="27"/>
      <c r="Y11" s="27"/>
      <c r="Z11" s="27"/>
      <c r="AA11" s="27"/>
      <c r="AB11" s="27"/>
      <c r="AC11" s="27"/>
      <c r="AD11" s="27"/>
      <c r="AE11" s="27"/>
    </row>
    <row r="12" spans="2:33" s="43" customFormat="1" x14ac:dyDescent="0.2">
      <c r="N12" s="44">
        <f t="shared" ref="N12:AF12" si="0">SUMIF($E14:$E125,"&gt;""""",N14:N125)</f>
        <v>6</v>
      </c>
      <c r="O12" s="44">
        <f t="shared" si="0"/>
        <v>1</v>
      </c>
      <c r="P12" s="44">
        <f t="shared" si="0"/>
        <v>1</v>
      </c>
      <c r="Q12" s="44">
        <f t="shared" si="0"/>
        <v>0</v>
      </c>
      <c r="R12" s="44">
        <f t="shared" si="0"/>
        <v>0</v>
      </c>
      <c r="S12" s="44">
        <f t="shared" si="0"/>
        <v>0</v>
      </c>
      <c r="T12" s="44">
        <f t="shared" si="0"/>
        <v>0</v>
      </c>
      <c r="U12" s="44">
        <f t="shared" si="0"/>
        <v>0</v>
      </c>
      <c r="V12" s="44">
        <f t="shared" si="0"/>
        <v>0</v>
      </c>
      <c r="W12" s="44">
        <f t="shared" si="0"/>
        <v>1</v>
      </c>
      <c r="X12" s="44">
        <f t="shared" si="0"/>
        <v>0</v>
      </c>
      <c r="Y12" s="44">
        <f t="shared" si="0"/>
        <v>0</v>
      </c>
      <c r="Z12" s="44">
        <f t="shared" si="0"/>
        <v>0</v>
      </c>
      <c r="AA12" s="44">
        <f t="shared" si="0"/>
        <v>0</v>
      </c>
      <c r="AB12" s="44">
        <f t="shared" si="0"/>
        <v>0</v>
      </c>
      <c r="AC12" s="44">
        <f t="shared" si="0"/>
        <v>0</v>
      </c>
      <c r="AD12" s="44">
        <f t="shared" si="0"/>
        <v>0</v>
      </c>
      <c r="AE12" s="44">
        <f t="shared" si="0"/>
        <v>1</v>
      </c>
      <c r="AF12" s="44">
        <f t="shared" si="0"/>
        <v>1</v>
      </c>
    </row>
    <row r="13" spans="2:33" s="53" customFormat="1" ht="70.5" x14ac:dyDescent="0.2">
      <c r="B13" s="45" t="s">
        <v>71</v>
      </c>
      <c r="C13" s="45" t="s">
        <v>72</v>
      </c>
      <c r="D13" s="45" t="s">
        <v>83</v>
      </c>
      <c r="E13" s="46" t="s">
        <v>145</v>
      </c>
      <c r="F13" s="47" t="s">
        <v>99</v>
      </c>
      <c r="G13" s="47" t="s">
        <v>100</v>
      </c>
      <c r="H13" s="48" t="s">
        <v>114</v>
      </c>
      <c r="I13" s="48" t="s">
        <v>0</v>
      </c>
      <c r="J13" s="49" t="s">
        <v>102</v>
      </c>
      <c r="K13" s="48" t="s">
        <v>101</v>
      </c>
      <c r="L13" s="46" t="s">
        <v>103</v>
      </c>
      <c r="M13" s="50" t="s">
        <v>104</v>
      </c>
      <c r="N13" s="51" t="s">
        <v>73</v>
      </c>
      <c r="O13" s="51" t="s">
        <v>89</v>
      </c>
      <c r="P13" s="51" t="s">
        <v>74</v>
      </c>
      <c r="Q13" s="51" t="s">
        <v>93</v>
      </c>
      <c r="R13" s="87" t="s">
        <v>178</v>
      </c>
      <c r="S13" s="51" t="s">
        <v>98</v>
      </c>
      <c r="T13" s="51" t="s">
        <v>80</v>
      </c>
      <c r="U13" s="51" t="s">
        <v>81</v>
      </c>
      <c r="V13" s="51" t="s">
        <v>75</v>
      </c>
      <c r="W13" s="51" t="s">
        <v>14</v>
      </c>
      <c r="X13" s="51" t="s">
        <v>76</v>
      </c>
      <c r="Y13" s="51" t="s">
        <v>77</v>
      </c>
      <c r="Z13" s="51" t="s">
        <v>17</v>
      </c>
      <c r="AA13" s="51" t="s">
        <v>78</v>
      </c>
      <c r="AB13" s="51" t="s">
        <v>87</v>
      </c>
      <c r="AC13" s="51" t="s">
        <v>91</v>
      </c>
      <c r="AD13" s="51" t="s">
        <v>92</v>
      </c>
      <c r="AE13" s="51" t="s">
        <v>88</v>
      </c>
      <c r="AF13" s="51" t="s">
        <v>79</v>
      </c>
      <c r="AG13" s="52" t="e">
        <f>#REF!</f>
        <v>#REF!</v>
      </c>
    </row>
    <row r="14" spans="2:33" s="65" customFormat="1" ht="15.75" x14ac:dyDescent="0.2">
      <c r="B14" s="54" t="s">
        <v>70</v>
      </c>
      <c r="C14" s="54" t="s">
        <v>70</v>
      </c>
      <c r="D14" s="54" t="s">
        <v>70</v>
      </c>
      <c r="E14" s="55" t="s">
        <v>2</v>
      </c>
      <c r="F14" s="56"/>
      <c r="G14" s="57"/>
      <c r="H14" s="58" t="s">
        <v>105</v>
      </c>
      <c r="I14" s="59">
        <f>SUM(K15:K29)</f>
        <v>0.99999999999999989</v>
      </c>
      <c r="J14" s="60">
        <f>IF(SUM($K15:$K29)=100%,SUMPRODUCT($K15:$K29,J15:J29),NA())</f>
        <v>0</v>
      </c>
      <c r="K14" s="61">
        <f>L4</f>
        <v>0.3</v>
      </c>
      <c r="L14" s="62">
        <f>SUBTOTAL(9,L15:L29)</f>
        <v>0</v>
      </c>
      <c r="M14" s="63">
        <f>IFERROR($K14*J14,NA())</f>
        <v>0</v>
      </c>
      <c r="N14" s="64">
        <f t="array" ref="N14">SUM(
IF(N15:N29="",0,
IF(VALUE($J15:$J29)&gt;=N15:N29,1,0)
))</f>
        <v>6</v>
      </c>
      <c r="O14" s="64">
        <f t="array" ref="O14">SUM(
IF(O15:O29="",0,
IF(VALUE($J15:$J29)&gt;=O15:O29,1,0)
))</f>
        <v>1</v>
      </c>
      <c r="P14" s="64">
        <f t="array" ref="P14">SUM(
IF(P15:P29="",0,
IF(VALUE($J15:$J29)&gt;=P15:P29,1,0)
))</f>
        <v>1</v>
      </c>
      <c r="Q14" s="64">
        <f t="array" ref="Q14">SUM(
IF(Q15:Q29="",0,
IF(VALUE($J15:$J29)&gt;=Q15:Q29,1,0)
))</f>
        <v>0</v>
      </c>
      <c r="R14" s="64">
        <f t="array" ref="R14">SUM(
IF(R15:R29="",0,
IF(VALUE($J15:$J29)&gt;=R15:R29,1,0)
))</f>
        <v>0</v>
      </c>
      <c r="S14" s="64">
        <f t="array" ref="S14">SUM(
IF(S15:S29="",0,
IF(VALUE($J15:$J29)&gt;=S15:S29,1,0)
))</f>
        <v>0</v>
      </c>
      <c r="T14" s="64">
        <f t="array" ref="T14">SUM(
IF(T15:T29="",0,
IF(VALUE($J15:$J29)&gt;=T15:T29,1,0)
))</f>
        <v>0</v>
      </c>
      <c r="U14" s="64">
        <f t="array" ref="U14">SUM(
IF(U15:U29="",0,
IF(VALUE($J15:$J29)&gt;=U15:U29,1,0)
))</f>
        <v>0</v>
      </c>
      <c r="V14" s="64">
        <f t="array" ref="V14">SUM(
IF(V15:V29="",0,
IF(VALUE($J15:$J29)&gt;=V15:V29,1,0)
))</f>
        <v>0</v>
      </c>
      <c r="W14" s="64">
        <f t="array" ref="W14">SUM(
IF(W15:W29="",0,
IF(VALUE($J15:$J29)&gt;=W15:W29,1,0)
))</f>
        <v>1</v>
      </c>
      <c r="X14" s="64">
        <f t="array" ref="X14">SUM(
IF(X15:X29="",0,
IF(VALUE($J15:$J29)&gt;=X15:X29,1,0)
))</f>
        <v>0</v>
      </c>
      <c r="Y14" s="64">
        <f t="array" ref="Y14">SUM(
IF(Y15:Y29="",0,
IF(VALUE($J15:$J29)&gt;=Y15:Y29,1,0)
))</f>
        <v>0</v>
      </c>
      <c r="Z14" s="64">
        <f t="array" ref="Z14">SUM(
IF(Z15:Z29="",0,
IF(VALUE($J15:$J29)&gt;=Z15:Z29,1,0)
))</f>
        <v>0</v>
      </c>
      <c r="AA14" s="64">
        <f t="array" ref="AA14">SUM(
IF(AA15:AA29="",0,
IF(VALUE($J15:$J29)&gt;=AA15:AA29,1,0)
))</f>
        <v>0</v>
      </c>
      <c r="AB14" s="64">
        <f t="array" ref="AB14">SUM(
IF(AB15:AB29="",0,
IF(VALUE($J15:$J29)&gt;=AB15:AB29,1,0)
))</f>
        <v>0</v>
      </c>
      <c r="AC14" s="64">
        <f t="array" ref="AC14">SUM(
IF(AC15:AC29="",0,
IF(VALUE($J15:$J29)&gt;=AC15:AC29,1,0)
))</f>
        <v>0</v>
      </c>
      <c r="AD14" s="64">
        <f t="array" ref="AD14">SUM(
IF(AD15:AD29="",0,
IF(VALUE($J15:$J29)&gt;=AD15:AD29,1,0)
))</f>
        <v>0</v>
      </c>
      <c r="AE14" s="64">
        <f t="array" ref="AE14">SUM(
IF(AE15:AE29="",0,
IF(VALUE($J15:$J29)&gt;=AE15:AE29,1,0)
))</f>
        <v>1</v>
      </c>
      <c r="AF14" s="64">
        <f t="array" ref="AF14">SUM(
IF(AF15:AF29="",0,
IF(VALUE($J15:$J29)&gt;=AF15:AF29,1,0)
))</f>
        <v>1</v>
      </c>
    </row>
    <row r="15" spans="2:33" ht="25.5" outlineLevel="1" x14ac:dyDescent="0.2">
      <c r="B15" s="20" t="s">
        <v>67</v>
      </c>
      <c r="C15" s="20" t="s">
        <v>70</v>
      </c>
      <c r="D15" s="20" t="s">
        <v>70</v>
      </c>
      <c r="E15" s="66"/>
      <c r="F15" s="67">
        <v>1</v>
      </c>
      <c r="G15" s="68" t="s">
        <v>1</v>
      </c>
      <c r="H15" s="69" t="s">
        <v>46</v>
      </c>
      <c r="I15" s="69" t="s">
        <v>45</v>
      </c>
      <c r="J15" s="85">
        <v>0</v>
      </c>
      <c r="K15" s="70">
        <v>0.04</v>
      </c>
      <c r="L15" s="71">
        <f t="shared" ref="L15:L29" si="1">$K15*J15</f>
        <v>0</v>
      </c>
      <c r="M15" s="72"/>
      <c r="N15" s="73">
        <v>0</v>
      </c>
      <c r="O15" s="73">
        <v>0</v>
      </c>
      <c r="P15" s="73">
        <v>0</v>
      </c>
      <c r="Q15" s="73"/>
      <c r="R15" s="73"/>
      <c r="S15" s="73"/>
      <c r="T15" s="73"/>
      <c r="U15" s="73"/>
      <c r="V15" s="73"/>
      <c r="W15" s="73">
        <v>0</v>
      </c>
      <c r="X15" s="73"/>
      <c r="Y15" s="73"/>
      <c r="Z15" s="73">
        <v>7</v>
      </c>
      <c r="AA15" s="73">
        <v>7</v>
      </c>
      <c r="AB15" s="73"/>
      <c r="AC15" s="73">
        <v>7</v>
      </c>
      <c r="AD15" s="73"/>
      <c r="AE15" s="73">
        <v>0</v>
      </c>
      <c r="AF15" s="73">
        <v>0</v>
      </c>
      <c r="AG15" s="72" t="e">
        <f>#REF!</f>
        <v>#REF!</v>
      </c>
    </row>
    <row r="16" spans="2:33" ht="38.25" outlineLevel="1" x14ac:dyDescent="0.2">
      <c r="B16" s="20" t="s">
        <v>67</v>
      </c>
      <c r="C16" s="20" t="s">
        <v>70</v>
      </c>
      <c r="D16" s="20" t="s">
        <v>70</v>
      </c>
      <c r="E16" s="66"/>
      <c r="F16" s="67">
        <v>2</v>
      </c>
      <c r="G16" s="68" t="s">
        <v>53</v>
      </c>
      <c r="H16" s="69" t="s">
        <v>47</v>
      </c>
      <c r="I16" s="75" t="s">
        <v>90</v>
      </c>
      <c r="J16" s="85">
        <v>0</v>
      </c>
      <c r="K16" s="70">
        <v>0.18</v>
      </c>
      <c r="L16" s="71">
        <f t="shared" si="1"/>
        <v>0</v>
      </c>
      <c r="M16" s="72"/>
      <c r="N16" s="73">
        <v>0</v>
      </c>
      <c r="O16" s="73"/>
      <c r="P16" s="73"/>
      <c r="Q16" s="73"/>
      <c r="R16" s="73"/>
      <c r="S16" s="73"/>
      <c r="T16" s="73"/>
      <c r="U16" s="73"/>
      <c r="V16" s="73"/>
      <c r="W16" s="73"/>
      <c r="X16" s="73">
        <v>4</v>
      </c>
      <c r="Y16" s="73">
        <v>4</v>
      </c>
      <c r="Z16" s="73">
        <v>4</v>
      </c>
      <c r="AA16" s="73"/>
      <c r="AB16" s="73"/>
      <c r="AC16" s="73"/>
      <c r="AD16" s="73"/>
      <c r="AE16" s="73"/>
      <c r="AF16" s="73"/>
      <c r="AG16" s="72" t="e">
        <f>#REF!</f>
        <v>#REF!</v>
      </c>
    </row>
    <row r="17" spans="2:33" ht="51" outlineLevel="1" x14ac:dyDescent="0.2">
      <c r="B17" s="20" t="s">
        <v>68</v>
      </c>
      <c r="C17" s="20" t="s">
        <v>67</v>
      </c>
      <c r="D17" s="20" t="s">
        <v>70</v>
      </c>
      <c r="E17" s="66"/>
      <c r="F17" s="67">
        <v>3</v>
      </c>
      <c r="G17" s="68" t="s">
        <v>52</v>
      </c>
      <c r="H17" s="69" t="s">
        <v>115</v>
      </c>
      <c r="I17" s="75" t="s">
        <v>37</v>
      </c>
      <c r="J17" s="85">
        <v>0</v>
      </c>
      <c r="K17" s="70">
        <v>0.03</v>
      </c>
      <c r="L17" s="71">
        <f t="shared" si="1"/>
        <v>0</v>
      </c>
      <c r="M17" s="72"/>
      <c r="N17" s="73">
        <v>0</v>
      </c>
      <c r="O17" s="73"/>
      <c r="P17" s="73"/>
      <c r="Q17" s="73"/>
      <c r="R17" s="73"/>
      <c r="S17" s="73"/>
      <c r="T17" s="73"/>
      <c r="U17" s="73"/>
      <c r="V17" s="73"/>
      <c r="W17" s="73"/>
      <c r="X17" s="73"/>
      <c r="Y17" s="73"/>
      <c r="Z17" s="73">
        <v>5</v>
      </c>
      <c r="AA17" s="73">
        <v>5</v>
      </c>
      <c r="AB17" s="73">
        <v>5</v>
      </c>
      <c r="AC17" s="73"/>
      <c r="AD17" s="73">
        <v>5</v>
      </c>
      <c r="AE17" s="73"/>
      <c r="AF17" s="73"/>
      <c r="AG17" s="72" t="e">
        <f>#REF!</f>
        <v>#REF!</v>
      </c>
    </row>
    <row r="18" spans="2:33" ht="63.75" outlineLevel="1" x14ac:dyDescent="0.2">
      <c r="B18" s="20" t="s">
        <v>67</v>
      </c>
      <c r="C18" s="20" t="s">
        <v>70</v>
      </c>
      <c r="D18" s="20" t="s">
        <v>70</v>
      </c>
      <c r="E18" s="66"/>
      <c r="F18" s="67">
        <v>4</v>
      </c>
      <c r="G18" s="68" t="s">
        <v>28</v>
      </c>
      <c r="H18" s="69" t="s">
        <v>86</v>
      </c>
      <c r="I18" s="69" t="s">
        <v>119</v>
      </c>
      <c r="J18" s="85">
        <v>0</v>
      </c>
      <c r="K18" s="70">
        <v>0.18</v>
      </c>
      <c r="L18" s="71">
        <f t="shared" si="1"/>
        <v>0</v>
      </c>
      <c r="M18" s="72"/>
      <c r="N18" s="73">
        <v>0</v>
      </c>
      <c r="O18" s="73"/>
      <c r="P18" s="73"/>
      <c r="Q18" s="73">
        <v>2</v>
      </c>
      <c r="R18" s="73"/>
      <c r="S18" s="73"/>
      <c r="T18" s="73"/>
      <c r="U18" s="73"/>
      <c r="V18" s="73"/>
      <c r="W18" s="73"/>
      <c r="X18" s="73">
        <v>2</v>
      </c>
      <c r="Y18" s="73">
        <v>2</v>
      </c>
      <c r="Z18" s="73">
        <v>2</v>
      </c>
      <c r="AA18" s="73">
        <v>2</v>
      </c>
      <c r="AB18" s="73">
        <v>2</v>
      </c>
      <c r="AC18" s="73"/>
      <c r="AD18" s="73"/>
      <c r="AE18" s="73"/>
      <c r="AF18" s="73"/>
      <c r="AG18" s="72" t="e">
        <f>#REF!</f>
        <v>#REF!</v>
      </c>
    </row>
    <row r="19" spans="2:33" ht="63.75" outlineLevel="1" x14ac:dyDescent="0.2">
      <c r="B19" s="20" t="s">
        <v>68</v>
      </c>
      <c r="C19" s="20" t="s">
        <v>67</v>
      </c>
      <c r="D19" s="20" t="s">
        <v>70</v>
      </c>
      <c r="E19" s="66"/>
      <c r="F19" s="67">
        <v>5</v>
      </c>
      <c r="G19" s="68" t="s">
        <v>9</v>
      </c>
      <c r="H19" s="69" t="s">
        <v>116</v>
      </c>
      <c r="I19" s="69" t="s">
        <v>120</v>
      </c>
      <c r="J19" s="85">
        <v>0</v>
      </c>
      <c r="K19" s="70">
        <v>0.18</v>
      </c>
      <c r="L19" s="71">
        <f t="shared" si="1"/>
        <v>0</v>
      </c>
      <c r="M19" s="72"/>
      <c r="N19" s="73">
        <v>0</v>
      </c>
      <c r="O19" s="73"/>
      <c r="P19" s="73"/>
      <c r="Q19" s="73"/>
      <c r="R19" s="73"/>
      <c r="S19" s="73"/>
      <c r="T19" s="73"/>
      <c r="U19" s="73">
        <v>2</v>
      </c>
      <c r="V19" s="73"/>
      <c r="W19" s="73"/>
      <c r="X19" s="73">
        <v>2</v>
      </c>
      <c r="Y19" s="73">
        <v>2</v>
      </c>
      <c r="Z19" s="73">
        <v>3</v>
      </c>
      <c r="AA19" s="73">
        <v>2</v>
      </c>
      <c r="AB19" s="73"/>
      <c r="AC19" s="73">
        <v>2</v>
      </c>
      <c r="AD19" s="73"/>
      <c r="AE19" s="73"/>
      <c r="AF19" s="73"/>
      <c r="AG19" s="72" t="e">
        <f>#REF!</f>
        <v>#REF!</v>
      </c>
    </row>
    <row r="20" spans="2:33" ht="51" outlineLevel="1" x14ac:dyDescent="0.2">
      <c r="B20" s="20" t="s">
        <v>69</v>
      </c>
      <c r="C20" s="20" t="s">
        <v>68</v>
      </c>
      <c r="D20" s="20" t="s">
        <v>67</v>
      </c>
      <c r="E20" s="66"/>
      <c r="F20" s="67">
        <v>6</v>
      </c>
      <c r="G20" s="68" t="s">
        <v>10</v>
      </c>
      <c r="H20" s="69" t="s">
        <v>54</v>
      </c>
      <c r="I20" s="69" t="s">
        <v>39</v>
      </c>
      <c r="J20" s="85">
        <v>0</v>
      </c>
      <c r="K20" s="70">
        <v>0.09</v>
      </c>
      <c r="L20" s="71">
        <f t="shared" si="1"/>
        <v>0</v>
      </c>
      <c r="M20" s="72"/>
      <c r="N20" s="73">
        <v>0</v>
      </c>
      <c r="O20" s="73"/>
      <c r="P20" s="73"/>
      <c r="Q20" s="73"/>
      <c r="R20" s="73"/>
      <c r="S20" s="73"/>
      <c r="T20" s="73"/>
      <c r="U20" s="73"/>
      <c r="V20" s="73"/>
      <c r="W20" s="73"/>
      <c r="X20" s="73">
        <v>5</v>
      </c>
      <c r="Y20" s="73"/>
      <c r="Z20" s="73">
        <v>5</v>
      </c>
      <c r="AA20" s="73">
        <v>5</v>
      </c>
      <c r="AB20" s="73">
        <v>5</v>
      </c>
      <c r="AC20" s="73"/>
      <c r="AD20" s="73"/>
      <c r="AE20" s="73"/>
      <c r="AF20" s="73"/>
      <c r="AG20" s="72" t="e">
        <f>#REF!</f>
        <v>#REF!</v>
      </c>
    </row>
    <row r="21" spans="2:33" ht="51" outlineLevel="1" x14ac:dyDescent="0.2">
      <c r="B21" s="20" t="s">
        <v>68</v>
      </c>
      <c r="C21" s="20" t="s">
        <v>67</v>
      </c>
      <c r="D21" s="20" t="s">
        <v>70</v>
      </c>
      <c r="E21" s="66"/>
      <c r="F21" s="67">
        <v>7</v>
      </c>
      <c r="G21" s="68" t="s">
        <v>16</v>
      </c>
      <c r="H21" s="69" t="s">
        <v>48</v>
      </c>
      <c r="I21" s="69" t="s">
        <v>41</v>
      </c>
      <c r="J21" s="85">
        <v>0</v>
      </c>
      <c r="K21" s="70">
        <v>0.09</v>
      </c>
      <c r="L21" s="71">
        <f t="shared" si="1"/>
        <v>0</v>
      </c>
      <c r="M21" s="72"/>
      <c r="N21" s="73"/>
      <c r="O21" s="73"/>
      <c r="P21" s="73"/>
      <c r="Q21" s="73"/>
      <c r="R21" s="73"/>
      <c r="S21" s="73"/>
      <c r="T21" s="73"/>
      <c r="U21" s="73"/>
      <c r="V21" s="73"/>
      <c r="W21" s="73"/>
      <c r="X21" s="73">
        <v>3</v>
      </c>
      <c r="Y21" s="73"/>
      <c r="Z21" s="73">
        <v>3</v>
      </c>
      <c r="AA21" s="73"/>
      <c r="AB21" s="73">
        <v>3</v>
      </c>
      <c r="AC21" s="73"/>
      <c r="AD21" s="73"/>
      <c r="AE21" s="73"/>
      <c r="AF21" s="73"/>
      <c r="AG21" s="72" t="e">
        <f>#REF!</f>
        <v>#REF!</v>
      </c>
    </row>
    <row r="22" spans="2:33" ht="51" outlineLevel="1" x14ac:dyDescent="0.2">
      <c r="B22" s="20" t="s">
        <v>69</v>
      </c>
      <c r="C22" s="20" t="s">
        <v>67</v>
      </c>
      <c r="D22" s="20" t="s">
        <v>70</v>
      </c>
      <c r="E22" s="66"/>
      <c r="F22" s="67">
        <v>8</v>
      </c>
      <c r="G22" s="68" t="s">
        <v>6</v>
      </c>
      <c r="H22" s="69" t="s">
        <v>38</v>
      </c>
      <c r="I22" s="69" t="s">
        <v>39</v>
      </c>
      <c r="J22" s="85">
        <v>0</v>
      </c>
      <c r="K22" s="70">
        <v>0.06</v>
      </c>
      <c r="L22" s="71">
        <f t="shared" si="1"/>
        <v>0</v>
      </c>
      <c r="M22" s="72"/>
      <c r="N22" s="73"/>
      <c r="O22" s="73"/>
      <c r="P22" s="73"/>
      <c r="Q22" s="73"/>
      <c r="R22" s="73"/>
      <c r="S22" s="73"/>
      <c r="T22" s="73"/>
      <c r="U22" s="73"/>
      <c r="V22" s="73">
        <v>5</v>
      </c>
      <c r="W22" s="73"/>
      <c r="X22" s="73">
        <v>5</v>
      </c>
      <c r="Y22" s="73">
        <v>5</v>
      </c>
      <c r="Z22" s="73">
        <v>5</v>
      </c>
      <c r="AA22" s="73">
        <v>5</v>
      </c>
      <c r="AB22" s="73"/>
      <c r="AC22" s="73">
        <v>5</v>
      </c>
      <c r="AD22" s="73"/>
      <c r="AE22" s="73"/>
      <c r="AF22" s="73"/>
      <c r="AG22" s="72" t="e">
        <f>#REF!</f>
        <v>#REF!</v>
      </c>
    </row>
    <row r="23" spans="2:33" ht="38.25" outlineLevel="1" x14ac:dyDescent="0.2">
      <c r="B23" s="20" t="s">
        <v>68</v>
      </c>
      <c r="C23" s="20" t="s">
        <v>67</v>
      </c>
      <c r="D23" s="20" t="s">
        <v>70</v>
      </c>
      <c r="E23" s="66"/>
      <c r="F23" s="67">
        <v>9</v>
      </c>
      <c r="G23" s="68" t="s">
        <v>7</v>
      </c>
      <c r="H23" s="69" t="s">
        <v>29</v>
      </c>
      <c r="I23" s="69" t="s">
        <v>55</v>
      </c>
      <c r="J23" s="85">
        <v>0</v>
      </c>
      <c r="K23" s="70">
        <v>0.09</v>
      </c>
      <c r="L23" s="71">
        <f>$K23*J23</f>
        <v>0</v>
      </c>
      <c r="M23" s="72"/>
      <c r="N23" s="73"/>
      <c r="O23" s="73"/>
      <c r="P23" s="73"/>
      <c r="Q23" s="73"/>
      <c r="R23" s="73"/>
      <c r="S23" s="73"/>
      <c r="T23" s="73"/>
      <c r="U23" s="73">
        <v>4</v>
      </c>
      <c r="V23" s="73">
        <v>4</v>
      </c>
      <c r="W23" s="73"/>
      <c r="X23" s="73">
        <v>4</v>
      </c>
      <c r="Y23" s="73">
        <v>4</v>
      </c>
      <c r="Z23" s="73">
        <v>4</v>
      </c>
      <c r="AA23" s="73">
        <v>4</v>
      </c>
      <c r="AB23" s="73">
        <v>4</v>
      </c>
      <c r="AC23" s="73"/>
      <c r="AD23" s="73"/>
      <c r="AE23" s="73"/>
      <c r="AF23" s="73"/>
      <c r="AG23" s="72" t="e">
        <f>#REF!</f>
        <v>#REF!</v>
      </c>
    </row>
    <row r="24" spans="2:33" ht="51" outlineLevel="1" x14ac:dyDescent="0.2">
      <c r="B24" s="20" t="s">
        <v>67</v>
      </c>
      <c r="C24" s="20" t="s">
        <v>70</v>
      </c>
      <c r="D24" s="20" t="s">
        <v>70</v>
      </c>
      <c r="E24" s="66"/>
      <c r="F24" s="67">
        <v>10</v>
      </c>
      <c r="G24" s="68" t="s">
        <v>26</v>
      </c>
      <c r="H24" s="69" t="s">
        <v>49</v>
      </c>
      <c r="I24" s="69" t="s">
        <v>56</v>
      </c>
      <c r="J24" s="85">
        <v>0</v>
      </c>
      <c r="K24" s="70">
        <v>0.03</v>
      </c>
      <c r="L24" s="71">
        <f>$K24*J24</f>
        <v>0</v>
      </c>
      <c r="M24" s="72"/>
      <c r="N24" s="73"/>
      <c r="O24" s="73"/>
      <c r="P24" s="73"/>
      <c r="Q24" s="73"/>
      <c r="R24" s="73"/>
      <c r="S24" s="73"/>
      <c r="T24" s="73"/>
      <c r="U24" s="73"/>
      <c r="V24" s="73"/>
      <c r="W24" s="73"/>
      <c r="X24" s="73">
        <v>3</v>
      </c>
      <c r="Y24" s="73"/>
      <c r="Z24" s="73">
        <v>3</v>
      </c>
      <c r="AA24" s="73">
        <v>3</v>
      </c>
      <c r="AB24" s="73">
        <v>3</v>
      </c>
      <c r="AC24" s="73">
        <v>5</v>
      </c>
      <c r="AD24" s="73"/>
      <c r="AE24" s="73"/>
      <c r="AF24" s="73"/>
      <c r="AG24" s="72" t="e">
        <f>#REF!</f>
        <v>#REF!</v>
      </c>
    </row>
    <row r="25" spans="2:33" ht="51" outlineLevel="1" collapsed="1" x14ac:dyDescent="0.2">
      <c r="B25" s="20" t="s">
        <v>67</v>
      </c>
      <c r="C25" s="20" t="s">
        <v>70</v>
      </c>
      <c r="D25" s="20" t="s">
        <v>70</v>
      </c>
      <c r="E25" s="66"/>
      <c r="F25" s="67">
        <v>11</v>
      </c>
      <c r="G25" s="68" t="s">
        <v>8</v>
      </c>
      <c r="H25" s="76" t="s">
        <v>169</v>
      </c>
      <c r="I25" s="69" t="s">
        <v>94</v>
      </c>
      <c r="J25" s="85">
        <v>0</v>
      </c>
      <c r="K25" s="70">
        <v>0.03</v>
      </c>
      <c r="L25" s="71">
        <f>$K25*J25</f>
        <v>0</v>
      </c>
      <c r="M25" s="72"/>
      <c r="N25" s="73"/>
      <c r="O25" s="73"/>
      <c r="P25" s="73"/>
      <c r="Q25" s="73"/>
      <c r="R25" s="73"/>
      <c r="S25" s="73"/>
      <c r="T25" s="73"/>
      <c r="U25" s="73"/>
      <c r="V25" s="73"/>
      <c r="W25" s="73"/>
      <c r="X25" s="73"/>
      <c r="Y25" s="73"/>
      <c r="Z25" s="73"/>
      <c r="AA25" s="73">
        <v>5</v>
      </c>
      <c r="AB25" s="73"/>
      <c r="AC25" s="73"/>
      <c r="AD25" s="73"/>
      <c r="AE25" s="73"/>
      <c r="AF25" s="73"/>
      <c r="AG25" s="72" t="e">
        <f>#REF!</f>
        <v>#REF!</v>
      </c>
    </row>
    <row r="26" spans="2:33" ht="15.75" hidden="1" outlineLevel="2" x14ac:dyDescent="0.2">
      <c r="E26" s="66"/>
      <c r="F26" s="67">
        <v>12</v>
      </c>
      <c r="G26" s="68"/>
      <c r="H26" s="69"/>
      <c r="I26" s="69"/>
      <c r="J26" s="85">
        <v>0</v>
      </c>
      <c r="K26" s="70"/>
      <c r="L26" s="71">
        <f>$K26*J26</f>
        <v>0</v>
      </c>
      <c r="M26" s="72"/>
      <c r="N26" s="73"/>
      <c r="O26" s="73"/>
      <c r="P26" s="73"/>
      <c r="Q26" s="73"/>
      <c r="R26" s="73"/>
      <c r="S26" s="73"/>
      <c r="T26" s="73"/>
      <c r="U26" s="73"/>
      <c r="V26" s="73"/>
      <c r="W26" s="73"/>
      <c r="X26" s="73"/>
      <c r="Y26" s="73"/>
      <c r="Z26" s="73"/>
      <c r="AA26" s="73"/>
      <c r="AB26" s="73"/>
      <c r="AC26" s="73"/>
      <c r="AD26" s="73"/>
      <c r="AE26" s="73"/>
      <c r="AF26" s="73"/>
      <c r="AG26" s="72"/>
    </row>
    <row r="27" spans="2:33" ht="15.75" hidden="1" outlineLevel="2" x14ac:dyDescent="0.2">
      <c r="B27" s="20" t="s">
        <v>106</v>
      </c>
      <c r="C27" s="20" t="s">
        <v>106</v>
      </c>
      <c r="D27" s="20" t="s">
        <v>106</v>
      </c>
      <c r="E27" s="66"/>
      <c r="F27" s="67">
        <v>13</v>
      </c>
      <c r="G27" s="68" t="s">
        <v>106</v>
      </c>
      <c r="H27" s="69" t="s">
        <v>106</v>
      </c>
      <c r="I27" s="69" t="s">
        <v>106</v>
      </c>
      <c r="J27" s="85">
        <v>0</v>
      </c>
      <c r="K27" s="70"/>
      <c r="L27" s="71">
        <f t="shared" si="1"/>
        <v>0</v>
      </c>
      <c r="M27" s="72"/>
      <c r="N27" s="73"/>
      <c r="O27" s="73"/>
      <c r="P27" s="73"/>
      <c r="Q27" s="73"/>
      <c r="R27" s="73"/>
      <c r="S27" s="73"/>
      <c r="T27" s="73"/>
      <c r="U27" s="73"/>
      <c r="V27" s="73"/>
      <c r="W27" s="73"/>
      <c r="X27" s="73"/>
      <c r="Y27" s="73"/>
      <c r="Z27" s="73"/>
      <c r="AA27" s="73"/>
      <c r="AB27" s="73"/>
      <c r="AC27" s="73"/>
      <c r="AD27" s="73"/>
      <c r="AE27" s="73"/>
      <c r="AF27" s="73"/>
      <c r="AG27" s="72"/>
    </row>
    <row r="28" spans="2:33" ht="15.75" hidden="1" outlineLevel="2" x14ac:dyDescent="0.2">
      <c r="F28" s="67">
        <v>14</v>
      </c>
      <c r="G28" s="68"/>
      <c r="H28" s="69"/>
      <c r="I28" s="69"/>
      <c r="J28" s="85">
        <v>0</v>
      </c>
      <c r="K28" s="70"/>
      <c r="L28" s="71">
        <f t="shared" si="1"/>
        <v>0</v>
      </c>
      <c r="M28" s="72"/>
      <c r="N28" s="73"/>
      <c r="O28" s="73"/>
      <c r="P28" s="73"/>
      <c r="Q28" s="73"/>
      <c r="R28" s="73"/>
      <c r="S28" s="73"/>
      <c r="T28" s="73"/>
      <c r="U28" s="73"/>
      <c r="V28" s="73"/>
      <c r="W28" s="73"/>
      <c r="X28" s="73"/>
      <c r="Y28" s="73"/>
      <c r="Z28" s="73"/>
      <c r="AA28" s="73"/>
      <c r="AB28" s="73"/>
      <c r="AC28" s="73"/>
      <c r="AD28" s="73"/>
      <c r="AE28" s="73"/>
      <c r="AF28" s="73"/>
      <c r="AG28" s="72"/>
    </row>
    <row r="29" spans="2:33" ht="15.75" hidden="1" outlineLevel="2" x14ac:dyDescent="0.2">
      <c r="E29" s="78"/>
      <c r="F29" s="67">
        <v>15</v>
      </c>
      <c r="G29" s="68"/>
      <c r="H29" s="69"/>
      <c r="I29" s="69"/>
      <c r="J29" s="85">
        <v>0</v>
      </c>
      <c r="K29" s="70"/>
      <c r="L29" s="71">
        <f t="shared" si="1"/>
        <v>0</v>
      </c>
      <c r="M29" s="72"/>
      <c r="N29" s="73"/>
      <c r="O29" s="73"/>
      <c r="P29" s="73"/>
      <c r="Q29" s="73"/>
      <c r="R29" s="73"/>
      <c r="S29" s="73"/>
      <c r="T29" s="73"/>
      <c r="U29" s="73"/>
      <c r="V29" s="73"/>
      <c r="W29" s="73"/>
      <c r="X29" s="73"/>
      <c r="Y29" s="73"/>
      <c r="Z29" s="73"/>
      <c r="AA29" s="73"/>
      <c r="AB29" s="73"/>
      <c r="AC29" s="73"/>
      <c r="AD29" s="73"/>
      <c r="AE29" s="73"/>
      <c r="AF29" s="73"/>
      <c r="AG29" s="72"/>
    </row>
    <row r="30" spans="2:33" s="65" customFormat="1" ht="15.75" customHeight="1" x14ac:dyDescent="0.2">
      <c r="B30" s="54" t="s">
        <v>70</v>
      </c>
      <c r="C30" s="54" t="s">
        <v>70</v>
      </c>
      <c r="D30" s="54" t="s">
        <v>70</v>
      </c>
      <c r="E30" s="55" t="s">
        <v>14</v>
      </c>
      <c r="F30" s="56"/>
      <c r="G30" s="57"/>
      <c r="H30" s="58" t="s">
        <v>105</v>
      </c>
      <c r="I30" s="59">
        <f>SUM(K31:K45)</f>
        <v>1</v>
      </c>
      <c r="J30" s="60">
        <f>IF(SUM($K31:$K45)=100%,SUMPRODUCT($K31:$K45,J31:J45),NA())</f>
        <v>0</v>
      </c>
      <c r="K30" s="61">
        <f>L5</f>
        <v>0.2</v>
      </c>
      <c r="L30" s="62">
        <f>SUBTOTAL(9,L31:L45)</f>
        <v>0</v>
      </c>
      <c r="M30" s="63">
        <f>IFERROR($K30*J30,NA())</f>
        <v>0</v>
      </c>
      <c r="N30" s="64">
        <f t="array" ref="N30">SUM(
IF(N31:N45="",0,
IF(VALUE($J31:$J45)&gt;=N31:N45,1,0)
))</f>
        <v>0</v>
      </c>
      <c r="O30" s="64">
        <f t="array" ref="O30">SUM(
IF(O31:O45="",0,
IF(VALUE($J31:$J45)&gt;=O31:O45,1,0)
))</f>
        <v>0</v>
      </c>
      <c r="P30" s="64">
        <f t="array" ref="P30">SUM(
IF(P31:P45="",0,
IF(VALUE($J31:$J45)&gt;=P31:P45,1,0)
))</f>
        <v>0</v>
      </c>
      <c r="Q30" s="64">
        <f t="array" ref="Q30">SUM(
IF(Q31:Q45="",0,
IF(VALUE($J31:$J45)&gt;=Q31:Q45,1,0)
))</f>
        <v>0</v>
      </c>
      <c r="R30" s="64">
        <f t="array" ref="R30">SUM(
IF(R31:R45="",0,
IF(VALUE($J31:$J45)&gt;=R31:R45,1,0)
))</f>
        <v>0</v>
      </c>
      <c r="S30" s="64">
        <f t="array" ref="S30">SUM(
IF(S31:S45="",0,
IF(VALUE($J31:$J45)&gt;=S31:S45,1,0)
))</f>
        <v>0</v>
      </c>
      <c r="T30" s="64">
        <f t="array" ref="T30">SUM(
IF(T31:T45="",0,
IF(VALUE($J31:$J45)&gt;=T31:T45,1,0)
))</f>
        <v>0</v>
      </c>
      <c r="U30" s="64">
        <f t="array" ref="U30">SUM(
IF(U31:U45="",0,
IF(VALUE($J31:$J45)&gt;=U31:U45,1,0)
))</f>
        <v>0</v>
      </c>
      <c r="V30" s="64">
        <f t="array" ref="V30">SUM(
IF(V31:V45="",0,
IF(VALUE($J31:$J45)&gt;=V31:V45,1,0)
))</f>
        <v>0</v>
      </c>
      <c r="W30" s="64">
        <f t="array" ref="W30">SUM(
IF(W31:W45="",0,
IF(VALUE($J31:$J45)&gt;=W31:W45,1,0)
))</f>
        <v>0</v>
      </c>
      <c r="X30" s="64">
        <f t="array" ref="X30">SUM(
IF(X31:X45="",0,
IF(VALUE($J31:$J45)&gt;=X31:X45,1,0)
))</f>
        <v>0</v>
      </c>
      <c r="Y30" s="64">
        <f t="array" ref="Y30">SUM(
IF(Y31:Y45="",0,
IF(VALUE($J31:$J45)&gt;=Y31:Y45,1,0)
))</f>
        <v>0</v>
      </c>
      <c r="Z30" s="64">
        <f t="array" ref="Z30">SUM(
IF(Z31:Z45="",0,
IF(VALUE($J31:$J45)&gt;=Z31:Z45,1,0)
))</f>
        <v>0</v>
      </c>
      <c r="AA30" s="64">
        <f t="array" ref="AA30">SUM(
IF(AA31:AA45="",0,
IF(VALUE($J31:$J45)&gt;=AA31:AA45,1,0)
))</f>
        <v>0</v>
      </c>
      <c r="AB30" s="64">
        <f t="array" ref="AB30">SUM(
IF(AB31:AB45="",0,
IF(VALUE($J31:$J45)&gt;=AB31:AB45,1,0)
))</f>
        <v>0</v>
      </c>
      <c r="AC30" s="64">
        <f t="array" ref="AC30">SUM(
IF(AC31:AC45="",0,
IF(VALUE($J31:$J45)&gt;=AC31:AC45,1,0)
))</f>
        <v>0</v>
      </c>
      <c r="AD30" s="64">
        <f t="array" ref="AD30">SUM(
IF(AD31:AD45="",0,
IF(VALUE($J31:$J45)&gt;=AD31:AD45,1,0)
))</f>
        <v>0</v>
      </c>
      <c r="AE30" s="64">
        <f t="array" ref="AE30">SUM(
IF(AE31:AE45="",0,
IF(VALUE($J31:$J45)&gt;=AE31:AE45,1,0)
))</f>
        <v>0</v>
      </c>
      <c r="AF30" s="64">
        <f t="array" ref="AF30">SUM(
IF(AF31:AF45="",0,
IF(VALUE($J31:$J45)&gt;=AF31:AF45,1,0)
))</f>
        <v>0</v>
      </c>
    </row>
    <row r="31" spans="2:33" s="79" customFormat="1" ht="15.75" customHeight="1" outlineLevel="1" x14ac:dyDescent="0.2">
      <c r="B31" s="20" t="s">
        <v>67</v>
      </c>
      <c r="C31" s="20" t="s">
        <v>70</v>
      </c>
      <c r="D31" s="20" t="s">
        <v>70</v>
      </c>
      <c r="E31" s="66"/>
      <c r="F31" s="67">
        <v>1</v>
      </c>
      <c r="G31" s="68" t="s">
        <v>3</v>
      </c>
      <c r="H31" s="69" t="s">
        <v>31</v>
      </c>
      <c r="I31" s="69" t="s">
        <v>96</v>
      </c>
      <c r="J31" s="85">
        <v>0</v>
      </c>
      <c r="K31" s="70">
        <v>0.3</v>
      </c>
      <c r="L31" s="71">
        <f t="shared" ref="L31:L45" si="2">$K31*J31</f>
        <v>0</v>
      </c>
      <c r="M31" s="72"/>
      <c r="N31" s="73"/>
      <c r="O31" s="73"/>
      <c r="P31" s="73"/>
      <c r="Q31" s="73"/>
      <c r="R31" s="73"/>
      <c r="S31" s="73"/>
      <c r="T31" s="73"/>
      <c r="U31" s="73"/>
      <c r="V31" s="73"/>
      <c r="W31" s="73"/>
      <c r="X31" s="73"/>
      <c r="Y31" s="73"/>
      <c r="Z31" s="73">
        <v>4</v>
      </c>
      <c r="AA31" s="73"/>
      <c r="AB31" s="73"/>
      <c r="AC31" s="73"/>
      <c r="AD31" s="73"/>
      <c r="AE31" s="73"/>
      <c r="AF31" s="73"/>
      <c r="AG31" s="72" t="e">
        <f>#REF!</f>
        <v>#REF!</v>
      </c>
    </row>
    <row r="32" spans="2:33" s="79" customFormat="1" ht="15.75" customHeight="1" outlineLevel="1" x14ac:dyDescent="0.2">
      <c r="B32" s="20" t="s">
        <v>69</v>
      </c>
      <c r="C32" s="20" t="s">
        <v>67</v>
      </c>
      <c r="D32" s="20" t="s">
        <v>70</v>
      </c>
      <c r="E32" s="66"/>
      <c r="F32" s="67">
        <v>2</v>
      </c>
      <c r="G32" s="68" t="s">
        <v>25</v>
      </c>
      <c r="H32" s="69" t="s">
        <v>24</v>
      </c>
      <c r="I32" s="69" t="s">
        <v>117</v>
      </c>
      <c r="J32" s="85">
        <v>0</v>
      </c>
      <c r="K32" s="70">
        <v>0.2</v>
      </c>
      <c r="L32" s="71">
        <f t="shared" si="2"/>
        <v>0</v>
      </c>
      <c r="M32" s="72"/>
      <c r="N32" s="73"/>
      <c r="O32" s="73"/>
      <c r="P32" s="73"/>
      <c r="Q32" s="73"/>
      <c r="R32" s="73"/>
      <c r="S32" s="73"/>
      <c r="T32" s="73"/>
      <c r="U32" s="73"/>
      <c r="V32" s="73"/>
      <c r="W32" s="73"/>
      <c r="X32" s="73">
        <v>4</v>
      </c>
      <c r="Y32" s="73">
        <v>4</v>
      </c>
      <c r="Z32" s="73">
        <v>4</v>
      </c>
      <c r="AA32" s="73"/>
      <c r="AB32" s="73"/>
      <c r="AC32" s="73"/>
      <c r="AD32" s="73"/>
      <c r="AE32" s="73"/>
      <c r="AF32" s="73"/>
      <c r="AG32" s="72" t="e">
        <f>#REF!</f>
        <v>#REF!</v>
      </c>
    </row>
    <row r="33" spans="2:33" s="79" customFormat="1" ht="15.75" customHeight="1" outlineLevel="1" x14ac:dyDescent="0.2">
      <c r="B33" s="20" t="s">
        <v>68</v>
      </c>
      <c r="C33" s="20" t="s">
        <v>67</v>
      </c>
      <c r="D33" s="20" t="s">
        <v>70</v>
      </c>
      <c r="E33" s="66"/>
      <c r="F33" s="67">
        <v>3</v>
      </c>
      <c r="G33" s="68" t="s">
        <v>13</v>
      </c>
      <c r="H33" s="69" t="s">
        <v>33</v>
      </c>
      <c r="I33" s="69" t="s">
        <v>42</v>
      </c>
      <c r="J33" s="85">
        <v>0</v>
      </c>
      <c r="K33" s="70">
        <v>0.15</v>
      </c>
      <c r="L33" s="71">
        <f t="shared" si="2"/>
        <v>0</v>
      </c>
      <c r="M33" s="72"/>
      <c r="N33" s="73"/>
      <c r="O33" s="73"/>
      <c r="P33" s="73"/>
      <c r="Q33" s="73"/>
      <c r="R33" s="73"/>
      <c r="S33" s="73"/>
      <c r="T33" s="73"/>
      <c r="U33" s="73"/>
      <c r="V33" s="73"/>
      <c r="W33" s="73"/>
      <c r="X33" s="73"/>
      <c r="Y33" s="73"/>
      <c r="Z33" s="73"/>
      <c r="AA33" s="73"/>
      <c r="AB33" s="73"/>
      <c r="AC33" s="73">
        <v>5</v>
      </c>
      <c r="AD33" s="73"/>
      <c r="AE33" s="73"/>
      <c r="AF33" s="73"/>
      <c r="AG33" s="72" t="e">
        <f>#REF!</f>
        <v>#REF!</v>
      </c>
    </row>
    <row r="34" spans="2:33" s="79" customFormat="1" ht="15.75" customHeight="1" outlineLevel="1" x14ac:dyDescent="0.2">
      <c r="B34" s="20" t="s">
        <v>67</v>
      </c>
      <c r="C34" s="20" t="s">
        <v>70</v>
      </c>
      <c r="D34" s="20" t="s">
        <v>70</v>
      </c>
      <c r="E34" s="66"/>
      <c r="F34" s="67">
        <v>4</v>
      </c>
      <c r="G34" s="68" t="s">
        <v>4</v>
      </c>
      <c r="H34" s="69" t="s">
        <v>32</v>
      </c>
      <c r="I34" s="69" t="s">
        <v>97</v>
      </c>
      <c r="J34" s="85">
        <v>0</v>
      </c>
      <c r="K34" s="70">
        <v>0.15</v>
      </c>
      <c r="L34" s="71">
        <f t="shared" si="2"/>
        <v>0</v>
      </c>
      <c r="M34" s="72"/>
      <c r="N34" s="73"/>
      <c r="O34" s="73"/>
      <c r="P34" s="73"/>
      <c r="Q34" s="73"/>
      <c r="R34" s="73"/>
      <c r="S34" s="73"/>
      <c r="T34" s="73"/>
      <c r="U34" s="73"/>
      <c r="V34" s="73">
        <v>5</v>
      </c>
      <c r="W34" s="73"/>
      <c r="X34" s="73">
        <v>5</v>
      </c>
      <c r="Y34" s="73">
        <v>5</v>
      </c>
      <c r="Z34" s="73">
        <v>5</v>
      </c>
      <c r="AA34" s="73">
        <v>5</v>
      </c>
      <c r="AB34" s="73"/>
      <c r="AC34" s="73"/>
      <c r="AD34" s="73">
        <v>5</v>
      </c>
      <c r="AE34" s="73"/>
      <c r="AF34" s="73"/>
      <c r="AG34" s="72" t="e">
        <f>#REF!</f>
        <v>#REF!</v>
      </c>
    </row>
    <row r="35" spans="2:33" s="79" customFormat="1" ht="15.75" customHeight="1" outlineLevel="1" collapsed="1" x14ac:dyDescent="0.2">
      <c r="B35" s="20" t="s">
        <v>67</v>
      </c>
      <c r="C35" s="20" t="s">
        <v>70</v>
      </c>
      <c r="D35" s="20" t="s">
        <v>70</v>
      </c>
      <c r="E35" s="66"/>
      <c r="F35" s="67">
        <v>5</v>
      </c>
      <c r="G35" s="68" t="s">
        <v>11</v>
      </c>
      <c r="H35" s="69" t="s">
        <v>118</v>
      </c>
      <c r="I35" s="69" t="s">
        <v>22</v>
      </c>
      <c r="J35" s="85">
        <v>0</v>
      </c>
      <c r="K35" s="70">
        <v>0.2</v>
      </c>
      <c r="L35" s="71">
        <f t="shared" si="2"/>
        <v>0</v>
      </c>
      <c r="M35" s="72"/>
      <c r="N35" s="73"/>
      <c r="O35" s="73"/>
      <c r="P35" s="73"/>
      <c r="Q35" s="73"/>
      <c r="R35" s="73"/>
      <c r="S35" s="73"/>
      <c r="T35" s="73"/>
      <c r="U35" s="73"/>
      <c r="V35" s="73"/>
      <c r="W35" s="73"/>
      <c r="X35" s="73">
        <v>3</v>
      </c>
      <c r="Y35" s="73">
        <v>3</v>
      </c>
      <c r="Z35" s="73">
        <v>5</v>
      </c>
      <c r="AA35" s="73"/>
      <c r="AB35" s="73"/>
      <c r="AC35" s="73"/>
      <c r="AD35" s="73"/>
      <c r="AE35" s="73"/>
      <c r="AF35" s="73"/>
      <c r="AG35" s="72" t="e">
        <f>#REF!</f>
        <v>#REF!</v>
      </c>
    </row>
    <row r="36" spans="2:33" s="79" customFormat="1" ht="15.75" hidden="1" outlineLevel="2" x14ac:dyDescent="0.2">
      <c r="B36" s="20" t="s">
        <v>106</v>
      </c>
      <c r="C36" s="20" t="s">
        <v>106</v>
      </c>
      <c r="D36" s="20" t="s">
        <v>106</v>
      </c>
      <c r="E36" s="66"/>
      <c r="F36" s="67">
        <v>6</v>
      </c>
      <c r="G36" s="68" t="s">
        <v>106</v>
      </c>
      <c r="H36" s="69" t="s">
        <v>106</v>
      </c>
      <c r="I36" s="69" t="s">
        <v>106</v>
      </c>
      <c r="J36" s="85">
        <v>0</v>
      </c>
      <c r="K36" s="70"/>
      <c r="L36" s="71">
        <f t="shared" si="2"/>
        <v>0</v>
      </c>
      <c r="M36" s="72"/>
      <c r="N36" s="73"/>
      <c r="O36" s="73"/>
      <c r="P36" s="73"/>
      <c r="Q36" s="73"/>
      <c r="R36" s="73"/>
      <c r="S36" s="73"/>
      <c r="T36" s="73"/>
      <c r="U36" s="73"/>
      <c r="V36" s="73"/>
      <c r="W36" s="73"/>
      <c r="X36" s="73"/>
      <c r="Y36" s="73"/>
      <c r="Z36" s="73"/>
      <c r="AA36" s="73"/>
      <c r="AB36" s="73"/>
      <c r="AC36" s="73"/>
      <c r="AD36" s="73"/>
      <c r="AE36" s="73"/>
      <c r="AF36" s="73"/>
      <c r="AG36" s="72"/>
    </row>
    <row r="37" spans="2:33" s="79" customFormat="1" ht="15.75" hidden="1" outlineLevel="2" x14ac:dyDescent="0.2">
      <c r="B37" s="20"/>
      <c r="C37" s="20" t="s">
        <v>106</v>
      </c>
      <c r="D37" s="20" t="s">
        <v>106</v>
      </c>
      <c r="E37" s="66"/>
      <c r="F37" s="67">
        <v>7</v>
      </c>
      <c r="G37" s="68"/>
      <c r="H37" s="69"/>
      <c r="I37" s="69"/>
      <c r="J37" s="85">
        <v>0</v>
      </c>
      <c r="K37" s="70"/>
      <c r="L37" s="71">
        <f t="shared" si="2"/>
        <v>0</v>
      </c>
      <c r="M37" s="72"/>
      <c r="N37" s="73"/>
      <c r="O37" s="73"/>
      <c r="P37" s="73"/>
      <c r="Q37" s="73"/>
      <c r="R37" s="73"/>
      <c r="S37" s="73"/>
      <c r="T37" s="73"/>
      <c r="U37" s="73"/>
      <c r="V37" s="73"/>
      <c r="W37" s="73"/>
      <c r="X37" s="73"/>
      <c r="Y37" s="73"/>
      <c r="Z37" s="73"/>
      <c r="AA37" s="73"/>
      <c r="AB37" s="73"/>
      <c r="AC37" s="73"/>
      <c r="AD37" s="73"/>
      <c r="AE37" s="73"/>
      <c r="AF37" s="73"/>
      <c r="AG37" s="72"/>
    </row>
    <row r="38" spans="2:33" s="79" customFormat="1" ht="15.75" hidden="1" outlineLevel="2" x14ac:dyDescent="0.2">
      <c r="B38" s="20"/>
      <c r="C38" s="20"/>
      <c r="D38" s="20" t="s">
        <v>106</v>
      </c>
      <c r="E38" s="66"/>
      <c r="F38" s="67">
        <v>8</v>
      </c>
      <c r="G38" s="68"/>
      <c r="H38" s="69"/>
      <c r="I38" s="69"/>
      <c r="J38" s="85">
        <v>0</v>
      </c>
      <c r="K38" s="70"/>
      <c r="L38" s="71">
        <f t="shared" si="2"/>
        <v>0</v>
      </c>
      <c r="M38" s="72"/>
      <c r="N38" s="73"/>
      <c r="O38" s="73"/>
      <c r="P38" s="73"/>
      <c r="Q38" s="73"/>
      <c r="R38" s="73"/>
      <c r="S38" s="73"/>
      <c r="T38" s="73"/>
      <c r="U38" s="73"/>
      <c r="V38" s="73"/>
      <c r="W38" s="73"/>
      <c r="X38" s="73"/>
      <c r="Y38" s="73"/>
      <c r="Z38" s="73"/>
      <c r="AA38" s="73"/>
      <c r="AB38" s="73"/>
      <c r="AC38" s="73"/>
      <c r="AD38" s="73"/>
      <c r="AE38" s="73"/>
      <c r="AF38" s="73"/>
      <c r="AG38" s="72"/>
    </row>
    <row r="39" spans="2:33" s="79" customFormat="1" ht="15.75" hidden="1" outlineLevel="2" x14ac:dyDescent="0.2">
      <c r="B39" s="20"/>
      <c r="C39" s="20"/>
      <c r="D39" s="20"/>
      <c r="E39" s="66"/>
      <c r="F39" s="67">
        <v>9</v>
      </c>
      <c r="G39" s="68"/>
      <c r="H39" s="69"/>
      <c r="I39" s="69"/>
      <c r="J39" s="85">
        <v>0</v>
      </c>
      <c r="K39" s="70"/>
      <c r="L39" s="71">
        <f t="shared" si="2"/>
        <v>0</v>
      </c>
      <c r="M39" s="72"/>
      <c r="N39" s="73"/>
      <c r="O39" s="73"/>
      <c r="P39" s="73"/>
      <c r="Q39" s="73"/>
      <c r="R39" s="73"/>
      <c r="S39" s="73"/>
      <c r="T39" s="73"/>
      <c r="U39" s="73"/>
      <c r="V39" s="73"/>
      <c r="W39" s="73"/>
      <c r="X39" s="73"/>
      <c r="Y39" s="73"/>
      <c r="Z39" s="73"/>
      <c r="AA39" s="73"/>
      <c r="AB39" s="73"/>
      <c r="AC39" s="73"/>
      <c r="AD39" s="73"/>
      <c r="AE39" s="73"/>
      <c r="AF39" s="73"/>
      <c r="AG39" s="72"/>
    </row>
    <row r="40" spans="2:33" s="79" customFormat="1" ht="15.75" hidden="1" outlineLevel="2" x14ac:dyDescent="0.2">
      <c r="B40" s="20"/>
      <c r="C40" s="20"/>
      <c r="D40" s="20"/>
      <c r="E40" s="66"/>
      <c r="F40" s="67">
        <v>10</v>
      </c>
      <c r="G40" s="68"/>
      <c r="H40" s="69"/>
      <c r="I40" s="69"/>
      <c r="J40" s="85">
        <v>0</v>
      </c>
      <c r="K40" s="70"/>
      <c r="L40" s="71">
        <f t="shared" si="2"/>
        <v>0</v>
      </c>
      <c r="M40" s="72"/>
      <c r="N40" s="73"/>
      <c r="O40" s="73"/>
      <c r="P40" s="73"/>
      <c r="Q40" s="73"/>
      <c r="R40" s="73"/>
      <c r="S40" s="73"/>
      <c r="T40" s="73"/>
      <c r="U40" s="73"/>
      <c r="V40" s="73"/>
      <c r="W40" s="73"/>
      <c r="X40" s="73"/>
      <c r="Y40" s="73"/>
      <c r="Z40" s="73"/>
      <c r="AA40" s="73"/>
      <c r="AB40" s="73"/>
      <c r="AC40" s="73"/>
      <c r="AD40" s="73"/>
      <c r="AE40" s="73"/>
      <c r="AF40" s="73"/>
      <c r="AG40" s="72"/>
    </row>
    <row r="41" spans="2:33" s="79" customFormat="1" ht="15.75" hidden="1" outlineLevel="2" x14ac:dyDescent="0.2">
      <c r="B41" s="20"/>
      <c r="C41" s="20"/>
      <c r="D41" s="20"/>
      <c r="E41" s="66"/>
      <c r="F41" s="67">
        <v>11</v>
      </c>
      <c r="G41" s="68"/>
      <c r="H41" s="69"/>
      <c r="I41" s="69"/>
      <c r="J41" s="85">
        <v>0</v>
      </c>
      <c r="K41" s="70"/>
      <c r="L41" s="71">
        <f t="shared" si="2"/>
        <v>0</v>
      </c>
      <c r="M41" s="72"/>
      <c r="N41" s="73"/>
      <c r="O41" s="73"/>
      <c r="P41" s="73"/>
      <c r="Q41" s="73"/>
      <c r="R41" s="73"/>
      <c r="S41" s="73"/>
      <c r="T41" s="73"/>
      <c r="U41" s="73"/>
      <c r="V41" s="73"/>
      <c r="W41" s="73"/>
      <c r="X41" s="73"/>
      <c r="Y41" s="73"/>
      <c r="Z41" s="73"/>
      <c r="AA41" s="73"/>
      <c r="AB41" s="73"/>
      <c r="AC41" s="73"/>
      <c r="AD41" s="73"/>
      <c r="AE41" s="73"/>
      <c r="AF41" s="73"/>
      <c r="AG41" s="72"/>
    </row>
    <row r="42" spans="2:33" s="79" customFormat="1" ht="15.75" hidden="1" outlineLevel="2" x14ac:dyDescent="0.2">
      <c r="B42" s="20"/>
      <c r="C42" s="20"/>
      <c r="D42" s="20"/>
      <c r="E42" s="66"/>
      <c r="F42" s="67">
        <v>12</v>
      </c>
      <c r="G42" s="68"/>
      <c r="H42" s="69"/>
      <c r="I42" s="69"/>
      <c r="J42" s="85">
        <v>0</v>
      </c>
      <c r="K42" s="70"/>
      <c r="L42" s="71">
        <f t="shared" si="2"/>
        <v>0</v>
      </c>
      <c r="M42" s="72"/>
      <c r="N42" s="73"/>
      <c r="O42" s="73"/>
      <c r="P42" s="73"/>
      <c r="Q42" s="73"/>
      <c r="R42" s="73"/>
      <c r="S42" s="73"/>
      <c r="T42" s="73"/>
      <c r="U42" s="73"/>
      <c r="V42" s="73"/>
      <c r="W42" s="73"/>
      <c r="X42" s="73"/>
      <c r="Y42" s="73"/>
      <c r="Z42" s="73"/>
      <c r="AA42" s="73"/>
      <c r="AB42" s="73"/>
      <c r="AC42" s="73"/>
      <c r="AD42" s="73"/>
      <c r="AE42" s="73"/>
      <c r="AF42" s="73"/>
      <c r="AG42" s="72"/>
    </row>
    <row r="43" spans="2:33" s="79" customFormat="1" ht="15.75" hidden="1" outlineLevel="2" x14ac:dyDescent="0.2">
      <c r="B43" s="20"/>
      <c r="C43" s="20"/>
      <c r="D43" s="20"/>
      <c r="E43" s="66"/>
      <c r="F43" s="67">
        <v>13</v>
      </c>
      <c r="G43" s="68"/>
      <c r="H43" s="69"/>
      <c r="I43" s="69"/>
      <c r="J43" s="85">
        <v>0</v>
      </c>
      <c r="K43" s="70"/>
      <c r="L43" s="71">
        <f t="shared" si="2"/>
        <v>0</v>
      </c>
      <c r="M43" s="72"/>
      <c r="N43" s="73"/>
      <c r="O43" s="73"/>
      <c r="P43" s="73"/>
      <c r="Q43" s="73"/>
      <c r="R43" s="73"/>
      <c r="S43" s="73"/>
      <c r="T43" s="73"/>
      <c r="U43" s="73"/>
      <c r="V43" s="73"/>
      <c r="W43" s="73"/>
      <c r="X43" s="73"/>
      <c r="Y43" s="73"/>
      <c r="Z43" s="73"/>
      <c r="AA43" s="73"/>
      <c r="AB43" s="73"/>
      <c r="AC43" s="73"/>
      <c r="AD43" s="73"/>
      <c r="AE43" s="73"/>
      <c r="AF43" s="73"/>
      <c r="AG43" s="72"/>
    </row>
    <row r="44" spans="2:33" s="79" customFormat="1" ht="15.75" hidden="1" outlineLevel="2" x14ac:dyDescent="0.2">
      <c r="B44" s="20"/>
      <c r="C44" s="20"/>
      <c r="D44" s="20"/>
      <c r="E44" s="66"/>
      <c r="F44" s="67">
        <v>14</v>
      </c>
      <c r="G44" s="68"/>
      <c r="H44" s="69"/>
      <c r="I44" s="69"/>
      <c r="J44" s="85">
        <v>0</v>
      </c>
      <c r="K44" s="70"/>
      <c r="L44" s="71">
        <f t="shared" si="2"/>
        <v>0</v>
      </c>
      <c r="M44" s="72"/>
      <c r="N44" s="73"/>
      <c r="O44" s="73"/>
      <c r="P44" s="73"/>
      <c r="Q44" s="73"/>
      <c r="R44" s="73"/>
      <c r="S44" s="73"/>
      <c r="T44" s="73"/>
      <c r="U44" s="73"/>
      <c r="V44" s="73"/>
      <c r="W44" s="73"/>
      <c r="X44" s="73"/>
      <c r="Y44" s="73"/>
      <c r="Z44" s="73"/>
      <c r="AA44" s="73"/>
      <c r="AB44" s="73"/>
      <c r="AC44" s="73"/>
      <c r="AD44" s="73"/>
      <c r="AE44" s="73"/>
      <c r="AF44" s="73"/>
      <c r="AG44" s="72"/>
    </row>
    <row r="45" spans="2:33" s="79" customFormat="1" ht="15.75" hidden="1" outlineLevel="2" x14ac:dyDescent="0.2">
      <c r="B45" s="80"/>
      <c r="C45" s="80"/>
      <c r="D45" s="80"/>
      <c r="E45" s="66"/>
      <c r="F45" s="67">
        <v>15</v>
      </c>
      <c r="G45" s="68"/>
      <c r="H45" s="69"/>
      <c r="I45" s="69"/>
      <c r="J45" s="85">
        <v>0</v>
      </c>
      <c r="K45" s="70"/>
      <c r="L45" s="71">
        <f t="shared" si="2"/>
        <v>0</v>
      </c>
      <c r="M45" s="72"/>
      <c r="N45" s="73"/>
      <c r="O45" s="73"/>
      <c r="P45" s="73"/>
      <c r="Q45" s="73"/>
      <c r="R45" s="73"/>
      <c r="S45" s="73"/>
      <c r="T45" s="73"/>
      <c r="U45" s="73"/>
      <c r="V45" s="73"/>
      <c r="W45" s="73"/>
      <c r="X45" s="73"/>
      <c r="Y45" s="73"/>
      <c r="Z45" s="73"/>
      <c r="AA45" s="73"/>
      <c r="AB45" s="73"/>
      <c r="AC45" s="73"/>
      <c r="AD45" s="73"/>
      <c r="AE45" s="73"/>
      <c r="AF45" s="73"/>
      <c r="AG45" s="72"/>
    </row>
    <row r="46" spans="2:33" s="65" customFormat="1" ht="15.75" customHeight="1" x14ac:dyDescent="0.2">
      <c r="B46" s="54" t="s">
        <v>70</v>
      </c>
      <c r="C46" s="54" t="s">
        <v>70</v>
      </c>
      <c r="D46" s="54" t="s">
        <v>70</v>
      </c>
      <c r="E46" s="55" t="s">
        <v>5</v>
      </c>
      <c r="F46" s="56"/>
      <c r="G46" s="57"/>
      <c r="H46" s="58" t="s">
        <v>105</v>
      </c>
      <c r="I46" s="59">
        <f>SUM(K47:K61)</f>
        <v>1</v>
      </c>
      <c r="J46" s="60">
        <f>IF(SUM($K47:$K61)=100%,SUMPRODUCT($K47:$K61,J47:J61),NA())</f>
        <v>0</v>
      </c>
      <c r="K46" s="61">
        <f>L6</f>
        <v>0.2</v>
      </c>
      <c r="L46" s="62">
        <f>SUBTOTAL(9,L47:L61)</f>
        <v>0</v>
      </c>
      <c r="M46" s="63">
        <f>IFERROR($K46*J46,NA())</f>
        <v>0</v>
      </c>
      <c r="N46" s="64">
        <f t="array" ref="N46">SUM(
IF(N47:N61="",0,
IF(VALUE($J47:$J61)&gt;=N47:N61,1,0)
))</f>
        <v>0</v>
      </c>
      <c r="O46" s="64">
        <f t="array" ref="O46">SUM(
IF(O47:O61="",0,
IF(VALUE($J47:$J61)&gt;=O47:O61,1,0)
))</f>
        <v>0</v>
      </c>
      <c r="P46" s="64">
        <f t="array" ref="P46">SUM(
IF(P47:P61="",0,
IF(VALUE($J47:$J61)&gt;=P47:P61,1,0)
))</f>
        <v>0</v>
      </c>
      <c r="Q46" s="64">
        <f t="array" ref="Q46">SUM(
IF(Q47:Q61="",0,
IF(VALUE($J47:$J61)&gt;=Q47:Q61,1,0)
))</f>
        <v>0</v>
      </c>
      <c r="R46" s="64">
        <f t="array" ref="R46">SUM(
IF(R47:R61="",0,
IF(VALUE($J47:$J61)&gt;=R47:R61,1,0)
))</f>
        <v>0</v>
      </c>
      <c r="S46" s="64">
        <f t="array" ref="S46">SUM(
IF(S47:S61="",0,
IF(VALUE($J47:$J61)&gt;=S47:S61,1,0)
))</f>
        <v>0</v>
      </c>
      <c r="T46" s="64">
        <f t="array" ref="T46">SUM(
IF(T47:T61="",0,
IF(VALUE($J47:$J61)&gt;=T47:T61,1,0)
))</f>
        <v>0</v>
      </c>
      <c r="U46" s="64">
        <f t="array" ref="U46">SUM(
IF(U47:U61="",0,
IF(VALUE($J47:$J61)&gt;=U47:U61,1,0)
))</f>
        <v>0</v>
      </c>
      <c r="V46" s="64">
        <f t="array" ref="V46">SUM(
IF(V47:V61="",0,
IF(VALUE($J47:$J61)&gt;=V47:V61,1,0)
))</f>
        <v>0</v>
      </c>
      <c r="W46" s="64">
        <f t="array" ref="W46">SUM(
IF(W47:W61="",0,
IF(VALUE($J47:$J61)&gt;=W47:W61,1,0)
))</f>
        <v>0</v>
      </c>
      <c r="X46" s="64">
        <f t="array" ref="X46">SUM(
IF(X47:X61="",0,
IF(VALUE($J47:$J61)&gt;=X47:X61,1,0)
))</f>
        <v>0</v>
      </c>
      <c r="Y46" s="64">
        <f t="array" ref="Y46">SUM(
IF(Y47:Y61="",0,
IF(VALUE($J47:$J61)&gt;=Y47:Y61,1,0)
))</f>
        <v>0</v>
      </c>
      <c r="Z46" s="64">
        <f t="array" ref="Z46">SUM(
IF(Z47:Z61="",0,
IF(VALUE($J47:$J61)&gt;=Z47:Z61,1,0)
))</f>
        <v>0</v>
      </c>
      <c r="AA46" s="64">
        <f t="array" ref="AA46">SUM(
IF(AA47:AA61="",0,
IF(VALUE($J47:$J61)&gt;=AA47:AA61,1,0)
))</f>
        <v>0</v>
      </c>
      <c r="AB46" s="64">
        <f t="array" ref="AB46">SUM(
IF(AB47:AB61="",0,
IF(VALUE($J47:$J61)&gt;=AB47:AB61,1,0)
))</f>
        <v>0</v>
      </c>
      <c r="AC46" s="64">
        <f t="array" ref="AC46">SUM(
IF(AC47:AC61="",0,
IF(VALUE($J47:$J61)&gt;=AC47:AC61,1,0)
))</f>
        <v>0</v>
      </c>
      <c r="AD46" s="64">
        <f t="array" ref="AD46">SUM(
IF(AD47:AD61="",0,
IF(VALUE($J47:$J61)&gt;=AD47:AD61,1,0)
))</f>
        <v>0</v>
      </c>
      <c r="AE46" s="64">
        <f t="array" ref="AE46">SUM(
IF(AE47:AE61="",0,
IF(VALUE($J47:$J61)&gt;=AE47:AE61,1,0)
))</f>
        <v>0</v>
      </c>
      <c r="AF46" s="64">
        <f t="array" ref="AF46">SUM(
IF(AF47:AF61="",0,
IF(VALUE($J47:$J61)&gt;=AF47:AF61,1,0)
))</f>
        <v>0</v>
      </c>
    </row>
    <row r="47" spans="2:33" s="79" customFormat="1" ht="51" outlineLevel="1" x14ac:dyDescent="0.2">
      <c r="B47" s="20" t="s">
        <v>67</v>
      </c>
      <c r="C47" s="20" t="s">
        <v>70</v>
      </c>
      <c r="D47" s="20" t="s">
        <v>70</v>
      </c>
      <c r="E47" s="66"/>
      <c r="F47" s="67">
        <v>1</v>
      </c>
      <c r="G47" s="68" t="s">
        <v>57</v>
      </c>
      <c r="H47" s="76" t="s">
        <v>166</v>
      </c>
      <c r="I47" s="69" t="s">
        <v>43</v>
      </c>
      <c r="J47" s="85">
        <v>0</v>
      </c>
      <c r="K47" s="70">
        <v>0.4</v>
      </c>
      <c r="L47" s="71">
        <f t="shared" ref="L47:L61" si="3">$K47*J47</f>
        <v>0</v>
      </c>
      <c r="M47" s="72"/>
      <c r="N47" s="73"/>
      <c r="O47" s="73"/>
      <c r="P47" s="73"/>
      <c r="Q47" s="73"/>
      <c r="R47" s="73"/>
      <c r="S47" s="73"/>
      <c r="T47" s="73">
        <v>3</v>
      </c>
      <c r="U47" s="73"/>
      <c r="V47" s="73">
        <v>3</v>
      </c>
      <c r="W47" s="73"/>
      <c r="X47" s="73"/>
      <c r="Y47" s="73">
        <v>3</v>
      </c>
      <c r="Z47" s="73">
        <v>3</v>
      </c>
      <c r="AA47" s="73"/>
      <c r="AB47" s="73"/>
      <c r="AC47" s="73"/>
      <c r="AD47" s="73"/>
      <c r="AE47" s="73"/>
      <c r="AF47" s="73"/>
      <c r="AG47" s="72" t="e">
        <f>#REF!</f>
        <v>#REF!</v>
      </c>
    </row>
    <row r="48" spans="2:33" s="79" customFormat="1" ht="63.75" outlineLevel="1" x14ac:dyDescent="0.2">
      <c r="B48" s="20" t="s">
        <v>67</v>
      </c>
      <c r="C48" s="20" t="s">
        <v>70</v>
      </c>
      <c r="D48" s="20" t="s">
        <v>70</v>
      </c>
      <c r="E48" s="66"/>
      <c r="F48" s="67">
        <v>2</v>
      </c>
      <c r="G48" s="68" t="s">
        <v>5</v>
      </c>
      <c r="H48" s="69" t="s">
        <v>34</v>
      </c>
      <c r="I48" s="69" t="s">
        <v>123</v>
      </c>
      <c r="J48" s="85">
        <v>0</v>
      </c>
      <c r="K48" s="70">
        <v>0.3</v>
      </c>
      <c r="L48" s="71">
        <f t="shared" si="3"/>
        <v>0</v>
      </c>
      <c r="M48" s="72"/>
      <c r="N48" s="73"/>
      <c r="O48" s="73"/>
      <c r="P48" s="73"/>
      <c r="Q48" s="73"/>
      <c r="R48" s="73"/>
      <c r="S48" s="73"/>
      <c r="T48" s="73"/>
      <c r="U48" s="73"/>
      <c r="V48" s="73"/>
      <c r="W48" s="73"/>
      <c r="X48" s="73"/>
      <c r="Y48" s="73"/>
      <c r="Z48" s="73"/>
      <c r="AA48" s="73"/>
      <c r="AB48" s="73"/>
      <c r="AC48" s="73"/>
      <c r="AD48" s="73"/>
      <c r="AE48" s="73"/>
      <c r="AF48" s="73"/>
      <c r="AG48" s="72" t="e">
        <f>#REF!</f>
        <v>#REF!</v>
      </c>
    </row>
    <row r="49" spans="2:33" s="79" customFormat="1" ht="38.25" outlineLevel="1" collapsed="1" x14ac:dyDescent="0.2">
      <c r="B49" s="20" t="s">
        <v>68</v>
      </c>
      <c r="C49" s="20" t="s">
        <v>67</v>
      </c>
      <c r="D49" s="20" t="s">
        <v>70</v>
      </c>
      <c r="E49" s="66"/>
      <c r="F49" s="67">
        <v>3</v>
      </c>
      <c r="G49" s="68" t="s">
        <v>35</v>
      </c>
      <c r="H49" s="69" t="s">
        <v>50</v>
      </c>
      <c r="I49" s="76" t="s">
        <v>167</v>
      </c>
      <c r="J49" s="85">
        <v>0</v>
      </c>
      <c r="K49" s="70">
        <v>0.3</v>
      </c>
      <c r="L49" s="71">
        <f t="shared" si="3"/>
        <v>0</v>
      </c>
      <c r="M49" s="72"/>
      <c r="N49" s="73"/>
      <c r="O49" s="73"/>
      <c r="P49" s="73"/>
      <c r="Q49" s="73"/>
      <c r="R49" s="73">
        <v>7</v>
      </c>
      <c r="S49" s="73">
        <v>7</v>
      </c>
      <c r="T49" s="73">
        <v>7</v>
      </c>
      <c r="U49" s="73"/>
      <c r="V49" s="73"/>
      <c r="W49" s="73"/>
      <c r="X49" s="73"/>
      <c r="Y49" s="73"/>
      <c r="Z49" s="73"/>
      <c r="AA49" s="73"/>
      <c r="AB49" s="73"/>
      <c r="AC49" s="73"/>
      <c r="AD49" s="73"/>
      <c r="AE49" s="73"/>
      <c r="AF49" s="73"/>
      <c r="AG49" s="72" t="e">
        <f>#REF!</f>
        <v>#REF!</v>
      </c>
    </row>
    <row r="50" spans="2:33" s="79" customFormat="1" ht="15.75" hidden="1" outlineLevel="2" x14ac:dyDescent="0.2">
      <c r="B50" s="20"/>
      <c r="C50" s="20"/>
      <c r="D50" s="20"/>
      <c r="E50" s="66"/>
      <c r="F50" s="67">
        <v>4</v>
      </c>
      <c r="G50" s="68"/>
      <c r="J50" s="85">
        <v>0</v>
      </c>
      <c r="L50" s="71">
        <f t="shared" si="3"/>
        <v>0</v>
      </c>
      <c r="M50" s="72"/>
      <c r="N50" s="73"/>
      <c r="O50" s="73"/>
      <c r="P50" s="73"/>
      <c r="Q50" s="73"/>
      <c r="R50" s="73"/>
      <c r="S50" s="73"/>
      <c r="T50" s="73"/>
      <c r="U50" s="73"/>
      <c r="V50" s="73"/>
      <c r="W50" s="73"/>
      <c r="X50" s="73"/>
      <c r="Y50" s="73"/>
      <c r="Z50" s="73"/>
      <c r="AA50" s="73"/>
      <c r="AB50" s="73"/>
      <c r="AC50" s="73"/>
      <c r="AD50" s="73"/>
      <c r="AE50" s="73"/>
      <c r="AF50" s="73"/>
      <c r="AG50" s="72" t="e">
        <f>#REF!</f>
        <v>#REF!</v>
      </c>
    </row>
    <row r="51" spans="2:33" s="79" customFormat="1" ht="15.75" hidden="1" outlineLevel="2" x14ac:dyDescent="0.2">
      <c r="B51" s="20" t="s">
        <v>106</v>
      </c>
      <c r="C51" s="20" t="s">
        <v>106</v>
      </c>
      <c r="D51" s="20" t="s">
        <v>106</v>
      </c>
      <c r="E51" s="66"/>
      <c r="F51" s="67">
        <v>5</v>
      </c>
      <c r="G51" s="68"/>
      <c r="H51" s="69" t="s">
        <v>106</v>
      </c>
      <c r="I51" s="69" t="s">
        <v>106</v>
      </c>
      <c r="J51" s="85">
        <v>0</v>
      </c>
      <c r="K51" s="70"/>
      <c r="L51" s="71">
        <f t="shared" si="3"/>
        <v>0</v>
      </c>
      <c r="M51" s="72"/>
      <c r="N51" s="73"/>
      <c r="O51" s="73"/>
      <c r="P51" s="73"/>
      <c r="Q51" s="73"/>
      <c r="R51" s="73"/>
      <c r="S51" s="73"/>
      <c r="T51" s="73"/>
      <c r="U51" s="73"/>
      <c r="V51" s="73"/>
      <c r="W51" s="73"/>
      <c r="X51" s="73"/>
      <c r="Y51" s="73"/>
      <c r="Z51" s="73"/>
      <c r="AA51" s="73"/>
      <c r="AB51" s="73"/>
      <c r="AC51" s="73"/>
      <c r="AD51" s="73"/>
      <c r="AE51" s="73"/>
      <c r="AF51" s="73"/>
      <c r="AG51" s="72"/>
    </row>
    <row r="52" spans="2:33" s="79" customFormat="1" ht="15.75" hidden="1" outlineLevel="2" x14ac:dyDescent="0.2">
      <c r="B52" s="20"/>
      <c r="C52" s="20"/>
      <c r="D52" s="20"/>
      <c r="E52" s="66"/>
      <c r="F52" s="67">
        <v>6</v>
      </c>
      <c r="G52" s="68"/>
      <c r="H52" s="69"/>
      <c r="I52" s="69"/>
      <c r="J52" s="85">
        <v>0</v>
      </c>
      <c r="K52" s="70"/>
      <c r="L52" s="71">
        <f t="shared" si="3"/>
        <v>0</v>
      </c>
      <c r="M52" s="72"/>
      <c r="N52" s="73"/>
      <c r="O52" s="73"/>
      <c r="P52" s="73"/>
      <c r="Q52" s="73"/>
      <c r="R52" s="73"/>
      <c r="S52" s="73"/>
      <c r="T52" s="73"/>
      <c r="U52" s="73"/>
      <c r="V52" s="73"/>
      <c r="W52" s="73"/>
      <c r="X52" s="73"/>
      <c r="Y52" s="73"/>
      <c r="Z52" s="73"/>
      <c r="AA52" s="73"/>
      <c r="AB52" s="73"/>
      <c r="AC52" s="73"/>
      <c r="AD52" s="73"/>
      <c r="AE52" s="73"/>
      <c r="AF52" s="73"/>
      <c r="AG52" s="72"/>
    </row>
    <row r="53" spans="2:33" s="79" customFormat="1" ht="15.75" hidden="1" outlineLevel="2" x14ac:dyDescent="0.2">
      <c r="B53" s="20"/>
      <c r="C53" s="20"/>
      <c r="D53" s="20"/>
      <c r="E53" s="66"/>
      <c r="F53" s="67">
        <v>7</v>
      </c>
      <c r="G53" s="68"/>
      <c r="H53" s="69"/>
      <c r="I53" s="69"/>
      <c r="J53" s="85">
        <v>0</v>
      </c>
      <c r="K53" s="70"/>
      <c r="L53" s="71">
        <f t="shared" si="3"/>
        <v>0</v>
      </c>
      <c r="M53" s="72"/>
      <c r="N53" s="73"/>
      <c r="O53" s="73"/>
      <c r="P53" s="73"/>
      <c r="Q53" s="73"/>
      <c r="R53" s="73"/>
      <c r="S53" s="73"/>
      <c r="T53" s="73"/>
      <c r="U53" s="73"/>
      <c r="V53" s="73"/>
      <c r="W53" s="73"/>
      <c r="X53" s="73"/>
      <c r="Y53" s="73"/>
      <c r="Z53" s="73"/>
      <c r="AA53" s="73"/>
      <c r="AB53" s="73"/>
      <c r="AC53" s="73"/>
      <c r="AD53" s="73"/>
      <c r="AE53" s="73"/>
      <c r="AF53" s="73"/>
      <c r="AG53" s="72"/>
    </row>
    <row r="54" spans="2:33" s="79" customFormat="1" ht="15.75" hidden="1" outlineLevel="2" x14ac:dyDescent="0.2">
      <c r="B54" s="20"/>
      <c r="C54" s="20"/>
      <c r="D54" s="20"/>
      <c r="E54" s="66"/>
      <c r="F54" s="67">
        <v>8</v>
      </c>
      <c r="G54" s="68"/>
      <c r="H54" s="69"/>
      <c r="I54" s="69"/>
      <c r="J54" s="85">
        <v>0</v>
      </c>
      <c r="K54" s="70"/>
      <c r="L54" s="71">
        <f t="shared" si="3"/>
        <v>0</v>
      </c>
      <c r="M54" s="72"/>
      <c r="N54" s="73"/>
      <c r="O54" s="73"/>
      <c r="P54" s="73"/>
      <c r="Q54" s="73"/>
      <c r="R54" s="73"/>
      <c r="S54" s="73"/>
      <c r="T54" s="73"/>
      <c r="U54" s="73"/>
      <c r="V54" s="73"/>
      <c r="W54" s="73"/>
      <c r="X54" s="73"/>
      <c r="Y54" s="73"/>
      <c r="Z54" s="73"/>
      <c r="AA54" s="73"/>
      <c r="AB54" s="73"/>
      <c r="AC54" s="73"/>
      <c r="AD54" s="73"/>
      <c r="AE54" s="73"/>
      <c r="AF54" s="73"/>
      <c r="AG54" s="72"/>
    </row>
    <row r="55" spans="2:33" s="79" customFormat="1" ht="15.75" hidden="1" outlineLevel="2" x14ac:dyDescent="0.2">
      <c r="B55" s="80"/>
      <c r="C55" s="80"/>
      <c r="D55" s="80"/>
      <c r="E55" s="66"/>
      <c r="F55" s="67">
        <v>9</v>
      </c>
      <c r="G55" s="68"/>
      <c r="H55" s="69"/>
      <c r="I55" s="69"/>
      <c r="J55" s="85">
        <v>0</v>
      </c>
      <c r="K55" s="70"/>
      <c r="L55" s="71">
        <f t="shared" si="3"/>
        <v>0</v>
      </c>
      <c r="M55" s="72"/>
      <c r="N55" s="73"/>
      <c r="O55" s="73"/>
      <c r="P55" s="73"/>
      <c r="Q55" s="73"/>
      <c r="R55" s="73"/>
      <c r="S55" s="73"/>
      <c r="T55" s="73"/>
      <c r="U55" s="73"/>
      <c r="V55" s="73"/>
      <c r="W55" s="73"/>
      <c r="X55" s="73"/>
      <c r="Y55" s="73"/>
      <c r="Z55" s="73"/>
      <c r="AA55" s="73"/>
      <c r="AB55" s="73"/>
      <c r="AC55" s="73"/>
      <c r="AD55" s="73"/>
      <c r="AE55" s="73"/>
      <c r="AF55" s="73"/>
      <c r="AG55" s="72"/>
    </row>
    <row r="56" spans="2:33" s="79" customFormat="1" ht="15.75" hidden="1" outlineLevel="2" x14ac:dyDescent="0.2">
      <c r="B56" s="80"/>
      <c r="C56" s="80"/>
      <c r="D56" s="80"/>
      <c r="E56" s="66"/>
      <c r="F56" s="67">
        <v>10</v>
      </c>
      <c r="G56" s="68"/>
      <c r="H56" s="69"/>
      <c r="I56" s="69"/>
      <c r="J56" s="85">
        <v>0</v>
      </c>
      <c r="K56" s="70"/>
      <c r="L56" s="71">
        <f t="shared" si="3"/>
        <v>0</v>
      </c>
      <c r="M56" s="72"/>
      <c r="N56" s="73"/>
      <c r="O56" s="73"/>
      <c r="P56" s="73"/>
      <c r="Q56" s="73"/>
      <c r="R56" s="73"/>
      <c r="S56" s="73"/>
      <c r="T56" s="73"/>
      <c r="U56" s="73"/>
      <c r="V56" s="73"/>
      <c r="W56" s="73"/>
      <c r="X56" s="73"/>
      <c r="Y56" s="73"/>
      <c r="Z56" s="73"/>
      <c r="AA56" s="73"/>
      <c r="AB56" s="73"/>
      <c r="AC56" s="73"/>
      <c r="AD56" s="73"/>
      <c r="AE56" s="73"/>
      <c r="AF56" s="73"/>
      <c r="AG56" s="72"/>
    </row>
    <row r="57" spans="2:33" s="79" customFormat="1" ht="15.75" hidden="1" outlineLevel="2" x14ac:dyDescent="0.2">
      <c r="B57" s="80"/>
      <c r="C57" s="80"/>
      <c r="D57" s="80"/>
      <c r="E57" s="66"/>
      <c r="F57" s="67">
        <v>11</v>
      </c>
      <c r="G57" s="68"/>
      <c r="H57" s="69"/>
      <c r="I57" s="69"/>
      <c r="J57" s="85">
        <v>0</v>
      </c>
      <c r="K57" s="70"/>
      <c r="L57" s="71">
        <f t="shared" si="3"/>
        <v>0</v>
      </c>
      <c r="M57" s="72"/>
      <c r="N57" s="73"/>
      <c r="O57" s="73"/>
      <c r="P57" s="73"/>
      <c r="Q57" s="73"/>
      <c r="R57" s="73"/>
      <c r="S57" s="73"/>
      <c r="T57" s="73"/>
      <c r="U57" s="73"/>
      <c r="V57" s="73"/>
      <c r="W57" s="73"/>
      <c r="X57" s="73"/>
      <c r="Y57" s="73"/>
      <c r="Z57" s="73"/>
      <c r="AA57" s="73"/>
      <c r="AB57" s="73"/>
      <c r="AC57" s="73"/>
      <c r="AD57" s="73"/>
      <c r="AE57" s="73"/>
      <c r="AF57" s="73"/>
      <c r="AG57" s="72"/>
    </row>
    <row r="58" spans="2:33" s="79" customFormat="1" ht="15.75" hidden="1" outlineLevel="2" x14ac:dyDescent="0.2">
      <c r="B58" s="80"/>
      <c r="C58" s="80"/>
      <c r="D58" s="80"/>
      <c r="E58" s="66"/>
      <c r="F58" s="67">
        <v>12</v>
      </c>
      <c r="G58" s="68"/>
      <c r="H58" s="69"/>
      <c r="I58" s="69"/>
      <c r="J58" s="85">
        <v>0</v>
      </c>
      <c r="K58" s="70"/>
      <c r="L58" s="71">
        <f t="shared" si="3"/>
        <v>0</v>
      </c>
      <c r="M58" s="72"/>
      <c r="N58" s="73"/>
      <c r="O58" s="73"/>
      <c r="P58" s="73"/>
      <c r="Q58" s="73"/>
      <c r="R58" s="73"/>
      <c r="S58" s="73"/>
      <c r="T58" s="73"/>
      <c r="U58" s="73"/>
      <c r="V58" s="73"/>
      <c r="W58" s="73"/>
      <c r="X58" s="73"/>
      <c r="Y58" s="73"/>
      <c r="Z58" s="73"/>
      <c r="AA58" s="73"/>
      <c r="AB58" s="73"/>
      <c r="AC58" s="73"/>
      <c r="AD58" s="73"/>
      <c r="AE58" s="73"/>
      <c r="AF58" s="73"/>
      <c r="AG58" s="72"/>
    </row>
    <row r="59" spans="2:33" s="79" customFormat="1" ht="15.75" hidden="1" outlineLevel="2" x14ac:dyDescent="0.2">
      <c r="B59" s="80"/>
      <c r="C59" s="80"/>
      <c r="D59" s="80"/>
      <c r="E59" s="66"/>
      <c r="F59" s="67">
        <v>13</v>
      </c>
      <c r="G59" s="68"/>
      <c r="H59" s="69"/>
      <c r="I59" s="69"/>
      <c r="J59" s="85">
        <v>0</v>
      </c>
      <c r="K59" s="70"/>
      <c r="L59" s="71">
        <f t="shared" si="3"/>
        <v>0</v>
      </c>
      <c r="M59" s="72"/>
      <c r="N59" s="73"/>
      <c r="O59" s="73"/>
      <c r="P59" s="73"/>
      <c r="Q59" s="73"/>
      <c r="R59" s="73"/>
      <c r="S59" s="73"/>
      <c r="T59" s="73"/>
      <c r="U59" s="73"/>
      <c r="V59" s="73"/>
      <c r="W59" s="73"/>
      <c r="X59" s="73"/>
      <c r="Y59" s="73"/>
      <c r="Z59" s="73"/>
      <c r="AA59" s="73"/>
      <c r="AB59" s="73"/>
      <c r="AC59" s="73"/>
      <c r="AD59" s="73"/>
      <c r="AE59" s="73"/>
      <c r="AF59" s="73"/>
      <c r="AG59" s="72"/>
    </row>
    <row r="60" spans="2:33" s="79" customFormat="1" ht="15.75" hidden="1" outlineLevel="2" x14ac:dyDescent="0.2">
      <c r="B60" s="80"/>
      <c r="C60" s="80"/>
      <c r="D60" s="80"/>
      <c r="E60" s="66"/>
      <c r="F60" s="67">
        <v>14</v>
      </c>
      <c r="G60" s="68"/>
      <c r="H60" s="69"/>
      <c r="I60" s="69"/>
      <c r="J60" s="85">
        <v>0</v>
      </c>
      <c r="K60" s="70"/>
      <c r="L60" s="71">
        <f t="shared" si="3"/>
        <v>0</v>
      </c>
      <c r="M60" s="72"/>
      <c r="N60" s="73"/>
      <c r="O60" s="73"/>
      <c r="P60" s="73"/>
      <c r="Q60" s="73"/>
      <c r="R60" s="73"/>
      <c r="S60" s="73"/>
      <c r="T60" s="73"/>
      <c r="U60" s="73"/>
      <c r="V60" s="73"/>
      <c r="W60" s="73"/>
      <c r="X60" s="73"/>
      <c r="Y60" s="73"/>
      <c r="Z60" s="73"/>
      <c r="AA60" s="73"/>
      <c r="AB60" s="73"/>
      <c r="AC60" s="73"/>
      <c r="AD60" s="73"/>
      <c r="AE60" s="73"/>
      <c r="AF60" s="73"/>
      <c r="AG60" s="72"/>
    </row>
    <row r="61" spans="2:33" s="79" customFormat="1" ht="15.75" hidden="1" outlineLevel="2" x14ac:dyDescent="0.2">
      <c r="B61" s="80"/>
      <c r="C61" s="80"/>
      <c r="D61" s="80"/>
      <c r="E61" s="66"/>
      <c r="F61" s="67">
        <v>15</v>
      </c>
      <c r="G61" s="68"/>
      <c r="H61" s="69"/>
      <c r="I61" s="69"/>
      <c r="J61" s="85">
        <v>0</v>
      </c>
      <c r="K61" s="70"/>
      <c r="L61" s="71">
        <f t="shared" si="3"/>
        <v>0</v>
      </c>
      <c r="M61" s="72"/>
      <c r="N61" s="73"/>
      <c r="O61" s="73"/>
      <c r="P61" s="73"/>
      <c r="Q61" s="73"/>
      <c r="R61" s="73"/>
      <c r="S61" s="73"/>
      <c r="T61" s="73"/>
      <c r="U61" s="73"/>
      <c r="V61" s="73"/>
      <c r="W61" s="73"/>
      <c r="X61" s="73"/>
      <c r="Y61" s="73"/>
      <c r="Z61" s="73"/>
      <c r="AA61" s="73"/>
      <c r="AB61" s="73"/>
      <c r="AC61" s="73"/>
      <c r="AD61" s="73"/>
      <c r="AE61" s="73"/>
      <c r="AF61" s="73"/>
      <c r="AG61" s="72"/>
    </row>
    <row r="62" spans="2:33" s="65" customFormat="1" ht="15.75" x14ac:dyDescent="0.2">
      <c r="B62" s="54" t="s">
        <v>70</v>
      </c>
      <c r="C62" s="54" t="s">
        <v>70</v>
      </c>
      <c r="D62" s="54" t="s">
        <v>70</v>
      </c>
      <c r="E62" s="55" t="s">
        <v>17</v>
      </c>
      <c r="F62" s="56"/>
      <c r="G62" s="57"/>
      <c r="H62" s="58" t="s">
        <v>105</v>
      </c>
      <c r="I62" s="59">
        <f>SUM(K63:K77)</f>
        <v>1.0000000000000002</v>
      </c>
      <c r="J62" s="60">
        <f>IF(SUM($K63:$K77)=100%,SUMPRODUCT($K63:$K77,J63:J77),NA())</f>
        <v>0</v>
      </c>
      <c r="K62" s="61">
        <f>L7</f>
        <v>0.2</v>
      </c>
      <c r="L62" s="62">
        <f>SUBTOTAL(9,L63:L77)</f>
        <v>0</v>
      </c>
      <c r="M62" s="63">
        <f>IFERROR($K62*J62,NA())</f>
        <v>0</v>
      </c>
      <c r="N62" s="64">
        <f t="array" ref="N62">SUM(
IF(N63:N77="",0,
IF(VALUE($J63:$J77)&gt;=N63:N77,1,0)
))</f>
        <v>0</v>
      </c>
      <c r="O62" s="64">
        <f t="array" ref="O62">SUM(
IF(O63:O77="",0,
IF(VALUE($J63:$J77)&gt;=O63:O77,1,0)
))</f>
        <v>0</v>
      </c>
      <c r="P62" s="64">
        <f t="array" ref="P62">SUM(
IF(P63:P77="",0,
IF(VALUE($J63:$J77)&gt;=P63:P77,1,0)
))</f>
        <v>0</v>
      </c>
      <c r="Q62" s="64">
        <f t="array" ref="Q62">SUM(
IF(Q63:Q77="",0,
IF(VALUE($J63:$J77)&gt;=Q63:Q77,1,0)
))</f>
        <v>0</v>
      </c>
      <c r="R62" s="64">
        <f t="array" ref="R62">SUM(
IF(R63:R77="",0,
IF(VALUE($J63:$J77)&gt;=R63:R77,1,0)
))</f>
        <v>0</v>
      </c>
      <c r="S62" s="64">
        <f t="array" ref="S62">SUM(
IF(S63:S77="",0,
IF(VALUE($J63:$J77)&gt;=S63:S77,1,0)
))</f>
        <v>0</v>
      </c>
      <c r="T62" s="64">
        <f t="array" ref="T62">SUM(
IF(T63:T77="",0,
IF(VALUE($J63:$J77)&gt;=T63:T77,1,0)
))</f>
        <v>0</v>
      </c>
      <c r="U62" s="64">
        <f t="array" ref="U62">SUM(
IF(U63:U77="",0,
IF(VALUE($J63:$J77)&gt;=U63:U77,1,0)
))</f>
        <v>0</v>
      </c>
      <c r="V62" s="64">
        <f t="array" ref="V62">SUM(
IF(V63:V77="",0,
IF(VALUE($J63:$J77)&gt;=V63:V77,1,0)
))</f>
        <v>0</v>
      </c>
      <c r="W62" s="64">
        <f t="array" ref="W62">SUM(
IF(W63:W77="",0,
IF(VALUE($J63:$J77)&gt;=W63:W77,1,0)
))</f>
        <v>0</v>
      </c>
      <c r="X62" s="64">
        <f t="array" ref="X62">SUM(
IF(X63:X77="",0,
IF(VALUE($J63:$J77)&gt;=X63:X77,1,0)
))</f>
        <v>0</v>
      </c>
      <c r="Y62" s="64">
        <f t="array" ref="Y62">SUM(
IF(Y63:Y77="",0,
IF(VALUE($J63:$J77)&gt;=Y63:Y77,1,0)
))</f>
        <v>0</v>
      </c>
      <c r="Z62" s="64">
        <f t="array" ref="Z62">SUM(
IF(Z63:Z77="",0,
IF(VALUE($J63:$J77)&gt;=Z63:Z77,1,0)
))</f>
        <v>0</v>
      </c>
      <c r="AA62" s="64">
        <f t="array" ref="AA62">SUM(
IF(AA63:AA77="",0,
IF(VALUE($J63:$J77)&gt;=AA63:AA77,1,0)
))</f>
        <v>0</v>
      </c>
      <c r="AB62" s="64">
        <f t="array" ref="AB62">SUM(
IF(AB63:AB77="",0,
IF(VALUE($J63:$J77)&gt;=AB63:AB77,1,0)
))</f>
        <v>0</v>
      </c>
      <c r="AC62" s="64">
        <f t="array" ref="AC62">SUM(
IF(AC63:AC77="",0,
IF(VALUE($J63:$J77)&gt;=AC63:AC77,1,0)
))</f>
        <v>0</v>
      </c>
      <c r="AD62" s="64">
        <f t="array" ref="AD62">SUM(
IF(AD63:AD77="",0,
IF(VALUE($J63:$J77)&gt;=AD63:AD77,1,0)
))</f>
        <v>0</v>
      </c>
      <c r="AE62" s="64">
        <f t="array" ref="AE62">SUM(
IF(AE63:AE77="",0,
IF(VALUE($J63:$J77)&gt;=AE63:AE77,1,0)
))</f>
        <v>0</v>
      </c>
      <c r="AF62" s="64">
        <f t="array" ref="AF62">SUM(
IF(AF63:AF77="",0,
IF(VALUE($J63:$J77)&gt;=AF63:AF77,1,0)
))</f>
        <v>0</v>
      </c>
    </row>
    <row r="63" spans="2:33" s="79" customFormat="1" ht="102" outlineLevel="1" x14ac:dyDescent="0.2">
      <c r="B63" s="20" t="s">
        <v>67</v>
      </c>
      <c r="C63" s="20" t="s">
        <v>70</v>
      </c>
      <c r="D63" s="20" t="s">
        <v>70</v>
      </c>
      <c r="E63" s="66"/>
      <c r="F63" s="67">
        <v>1</v>
      </c>
      <c r="G63" s="68" t="s">
        <v>36</v>
      </c>
      <c r="H63" s="69" t="s">
        <v>95</v>
      </c>
      <c r="I63" s="69" t="s">
        <v>58</v>
      </c>
      <c r="J63" s="85">
        <v>0</v>
      </c>
      <c r="K63" s="70">
        <v>0.1</v>
      </c>
      <c r="L63" s="71">
        <f t="shared" ref="L63:L77" si="4">$K63*J63</f>
        <v>0</v>
      </c>
      <c r="M63" s="72"/>
      <c r="N63" s="73"/>
      <c r="O63" s="73"/>
      <c r="P63" s="73"/>
      <c r="Q63" s="73">
        <v>3</v>
      </c>
      <c r="R63" s="73"/>
      <c r="S63" s="73"/>
      <c r="T63" s="73"/>
      <c r="U63" s="73"/>
      <c r="V63" s="73"/>
      <c r="W63" s="73"/>
      <c r="X63" s="73">
        <v>5</v>
      </c>
      <c r="Y63" s="73">
        <v>5</v>
      </c>
      <c r="Z63" s="73">
        <v>5</v>
      </c>
      <c r="AA63" s="73"/>
      <c r="AB63" s="73"/>
      <c r="AC63" s="73"/>
      <c r="AD63" s="73"/>
      <c r="AE63" s="73"/>
      <c r="AF63" s="73"/>
      <c r="AG63" s="72" t="e">
        <f>#REF!</f>
        <v>#REF!</v>
      </c>
    </row>
    <row r="64" spans="2:33" s="79" customFormat="1" ht="25.5" outlineLevel="1" x14ac:dyDescent="0.2">
      <c r="B64" s="20" t="s">
        <v>67</v>
      </c>
      <c r="C64" s="20" t="s">
        <v>70</v>
      </c>
      <c r="D64" s="20" t="s">
        <v>70</v>
      </c>
      <c r="E64" s="66"/>
      <c r="F64" s="67">
        <v>2</v>
      </c>
      <c r="G64" s="68" t="s">
        <v>12</v>
      </c>
      <c r="H64" s="69" t="s">
        <v>51</v>
      </c>
      <c r="I64" s="69" t="s">
        <v>23</v>
      </c>
      <c r="J64" s="85">
        <v>0</v>
      </c>
      <c r="K64" s="70">
        <v>0.1</v>
      </c>
      <c r="L64" s="71">
        <f t="shared" si="4"/>
        <v>0</v>
      </c>
      <c r="M64" s="72"/>
      <c r="N64" s="73"/>
      <c r="O64" s="73"/>
      <c r="P64" s="73"/>
      <c r="Q64" s="73"/>
      <c r="R64" s="73"/>
      <c r="S64" s="73"/>
      <c r="T64" s="73"/>
      <c r="U64" s="73"/>
      <c r="V64" s="73"/>
      <c r="W64" s="73"/>
      <c r="X64" s="73">
        <v>7</v>
      </c>
      <c r="Y64" s="73">
        <v>7</v>
      </c>
      <c r="Z64" s="73">
        <v>7</v>
      </c>
      <c r="AA64" s="73"/>
      <c r="AB64" s="73"/>
      <c r="AC64" s="73"/>
      <c r="AD64" s="73"/>
      <c r="AE64" s="73"/>
      <c r="AF64" s="73"/>
      <c r="AG64" s="72" t="e">
        <f>#REF!</f>
        <v>#REF!</v>
      </c>
    </row>
    <row r="65" spans="2:33" s="79" customFormat="1" ht="51" outlineLevel="1" x14ac:dyDescent="0.2">
      <c r="B65" s="20" t="s">
        <v>69</v>
      </c>
      <c r="C65" s="20" t="s">
        <v>68</v>
      </c>
      <c r="D65" s="20" t="s">
        <v>67</v>
      </c>
      <c r="E65" s="66"/>
      <c r="F65" s="67">
        <v>3</v>
      </c>
      <c r="G65" s="68" t="s">
        <v>60</v>
      </c>
      <c r="H65" s="69" t="s">
        <v>59</v>
      </c>
      <c r="I65" s="69" t="s">
        <v>19</v>
      </c>
      <c r="J65" s="85">
        <v>0</v>
      </c>
      <c r="K65" s="70">
        <v>0.15</v>
      </c>
      <c r="L65" s="71">
        <f t="shared" si="4"/>
        <v>0</v>
      </c>
      <c r="M65" s="72"/>
      <c r="N65" s="73"/>
      <c r="O65" s="73"/>
      <c r="P65" s="73"/>
      <c r="Q65" s="73"/>
      <c r="R65" s="73"/>
      <c r="S65" s="73"/>
      <c r="T65" s="73"/>
      <c r="U65" s="73"/>
      <c r="V65" s="73"/>
      <c r="W65" s="73"/>
      <c r="X65" s="73">
        <v>7</v>
      </c>
      <c r="Y65" s="73">
        <v>7</v>
      </c>
      <c r="Z65" s="73">
        <v>7</v>
      </c>
      <c r="AA65" s="73"/>
      <c r="AB65" s="73"/>
      <c r="AC65" s="73"/>
      <c r="AD65" s="73"/>
      <c r="AE65" s="73"/>
      <c r="AF65" s="73"/>
      <c r="AG65" s="72" t="e">
        <f>#REF!</f>
        <v>#REF!</v>
      </c>
    </row>
    <row r="66" spans="2:33" s="79" customFormat="1" ht="51" outlineLevel="1" x14ac:dyDescent="0.2">
      <c r="B66" s="20" t="s">
        <v>67</v>
      </c>
      <c r="C66" s="20" t="s">
        <v>70</v>
      </c>
      <c r="D66" s="20" t="s">
        <v>70</v>
      </c>
      <c r="E66" s="66"/>
      <c r="F66" s="67">
        <v>4</v>
      </c>
      <c r="G66" s="68" t="s">
        <v>61</v>
      </c>
      <c r="H66" s="76" t="s">
        <v>168</v>
      </c>
      <c r="I66" s="69" t="s">
        <v>40</v>
      </c>
      <c r="J66" s="85">
        <v>0</v>
      </c>
      <c r="K66" s="70">
        <v>0.2</v>
      </c>
      <c r="L66" s="71">
        <f t="shared" si="4"/>
        <v>0</v>
      </c>
      <c r="M66" s="72"/>
      <c r="N66" s="73"/>
      <c r="O66" s="73"/>
      <c r="P66" s="73"/>
      <c r="Q66" s="73"/>
      <c r="R66" s="73"/>
      <c r="S66" s="73"/>
      <c r="T66" s="73"/>
      <c r="U66" s="73"/>
      <c r="V66" s="73">
        <v>5</v>
      </c>
      <c r="W66" s="73"/>
      <c r="X66" s="73"/>
      <c r="Y66" s="73">
        <v>5</v>
      </c>
      <c r="Z66" s="73">
        <v>5</v>
      </c>
      <c r="AA66" s="73">
        <v>5</v>
      </c>
      <c r="AB66" s="73"/>
      <c r="AC66" s="73"/>
      <c r="AD66" s="73"/>
      <c r="AE66" s="73"/>
      <c r="AF66" s="73"/>
      <c r="AG66" s="72" t="e">
        <f>#REF!</f>
        <v>#REF!</v>
      </c>
    </row>
    <row r="67" spans="2:33" s="79" customFormat="1" ht="51" outlineLevel="1" x14ac:dyDescent="0.2">
      <c r="B67" s="20" t="s">
        <v>68</v>
      </c>
      <c r="C67" s="20" t="s">
        <v>67</v>
      </c>
      <c r="D67" s="20" t="s">
        <v>70</v>
      </c>
      <c r="E67" s="66"/>
      <c r="F67" s="67">
        <v>5</v>
      </c>
      <c r="G67" s="68" t="s">
        <v>18</v>
      </c>
      <c r="H67" s="69" t="s">
        <v>62</v>
      </c>
      <c r="I67" s="69" t="s">
        <v>63</v>
      </c>
      <c r="J67" s="85">
        <v>0</v>
      </c>
      <c r="K67" s="70">
        <v>0.15</v>
      </c>
      <c r="L67" s="71">
        <f t="shared" si="4"/>
        <v>0</v>
      </c>
      <c r="M67" s="72"/>
      <c r="N67" s="73"/>
      <c r="O67" s="73"/>
      <c r="P67" s="73"/>
      <c r="Q67" s="73"/>
      <c r="R67" s="73"/>
      <c r="S67" s="73">
        <v>3</v>
      </c>
      <c r="T67" s="73"/>
      <c r="U67" s="73"/>
      <c r="V67" s="73"/>
      <c r="W67" s="73"/>
      <c r="X67" s="73"/>
      <c r="Y67" s="73"/>
      <c r="Z67" s="73">
        <v>5</v>
      </c>
      <c r="AA67" s="73"/>
      <c r="AB67" s="73"/>
      <c r="AC67" s="73"/>
      <c r="AD67" s="73"/>
      <c r="AE67" s="73"/>
      <c r="AF67" s="73"/>
      <c r="AG67" s="72" t="e">
        <f>#REF!</f>
        <v>#REF!</v>
      </c>
    </row>
    <row r="68" spans="2:33" s="79" customFormat="1" ht="89.25" outlineLevel="1" x14ac:dyDescent="0.2">
      <c r="B68" s="20" t="s">
        <v>69</v>
      </c>
      <c r="C68" s="20" t="s">
        <v>68</v>
      </c>
      <c r="D68" s="20" t="s">
        <v>67</v>
      </c>
      <c r="E68" s="66"/>
      <c r="F68" s="67">
        <v>6</v>
      </c>
      <c r="G68" s="68" t="s">
        <v>27</v>
      </c>
      <c r="H68" s="69" t="s">
        <v>30</v>
      </c>
      <c r="I68" s="69" t="s">
        <v>20</v>
      </c>
      <c r="J68" s="85">
        <v>0</v>
      </c>
      <c r="K68" s="70">
        <v>0.2</v>
      </c>
      <c r="L68" s="71">
        <f t="shared" si="4"/>
        <v>0</v>
      </c>
      <c r="M68" s="72"/>
      <c r="N68" s="73"/>
      <c r="O68" s="73"/>
      <c r="P68" s="73"/>
      <c r="Q68" s="73"/>
      <c r="R68" s="73"/>
      <c r="S68" s="73"/>
      <c r="T68" s="73"/>
      <c r="U68" s="73"/>
      <c r="V68" s="73">
        <v>5</v>
      </c>
      <c r="W68" s="73"/>
      <c r="X68" s="73"/>
      <c r="Y68" s="73"/>
      <c r="Z68" s="73">
        <v>5</v>
      </c>
      <c r="AA68" s="73"/>
      <c r="AB68" s="73"/>
      <c r="AC68" s="73"/>
      <c r="AD68" s="73"/>
      <c r="AE68" s="73"/>
      <c r="AF68" s="73"/>
      <c r="AG68" s="72" t="e">
        <f>#REF!</f>
        <v>#REF!</v>
      </c>
    </row>
    <row r="69" spans="2:33" s="79" customFormat="1" ht="76.5" outlineLevel="1" collapsed="1" x14ac:dyDescent="0.2">
      <c r="B69" s="20" t="s">
        <v>67</v>
      </c>
      <c r="C69" s="20" t="s">
        <v>70</v>
      </c>
      <c r="D69" s="20" t="s">
        <v>70</v>
      </c>
      <c r="E69" s="66"/>
      <c r="F69" s="67">
        <v>7</v>
      </c>
      <c r="G69" s="68" t="s">
        <v>64</v>
      </c>
      <c r="H69" s="69" t="s">
        <v>65</v>
      </c>
      <c r="I69" s="69" t="s">
        <v>121</v>
      </c>
      <c r="J69" s="85">
        <v>0</v>
      </c>
      <c r="K69" s="70">
        <v>0.1</v>
      </c>
      <c r="L69" s="71">
        <f t="shared" si="4"/>
        <v>0</v>
      </c>
      <c r="M69" s="72"/>
      <c r="N69" s="73"/>
      <c r="O69" s="73"/>
      <c r="P69" s="73"/>
      <c r="Q69" s="73"/>
      <c r="R69" s="73"/>
      <c r="S69" s="73"/>
      <c r="T69" s="73"/>
      <c r="U69" s="73"/>
      <c r="V69" s="73"/>
      <c r="W69" s="73"/>
      <c r="X69" s="73">
        <v>5</v>
      </c>
      <c r="Y69" s="73">
        <v>5</v>
      </c>
      <c r="Z69" s="73">
        <v>3</v>
      </c>
      <c r="AA69" s="73"/>
      <c r="AB69" s="73"/>
      <c r="AC69" s="73"/>
      <c r="AD69" s="73"/>
      <c r="AE69" s="73"/>
      <c r="AF69" s="73"/>
      <c r="AG69" s="72" t="e">
        <f>#REF!</f>
        <v>#REF!</v>
      </c>
    </row>
    <row r="70" spans="2:33" s="79" customFormat="1" ht="15.75" hidden="1" outlineLevel="2" x14ac:dyDescent="0.2">
      <c r="E70" s="66"/>
      <c r="F70" s="67">
        <v>8</v>
      </c>
      <c r="G70" s="68"/>
      <c r="H70" s="69"/>
      <c r="I70" s="69"/>
      <c r="J70" s="85">
        <v>0</v>
      </c>
      <c r="K70" s="70"/>
      <c r="L70" s="71">
        <f t="shared" si="4"/>
        <v>0</v>
      </c>
      <c r="M70" s="72"/>
      <c r="N70" s="73"/>
      <c r="O70" s="73"/>
      <c r="P70" s="73"/>
      <c r="Q70" s="73"/>
      <c r="R70" s="73"/>
      <c r="S70" s="73"/>
      <c r="T70" s="73"/>
      <c r="U70" s="73"/>
      <c r="V70" s="73"/>
      <c r="W70" s="73"/>
      <c r="X70" s="73"/>
      <c r="Y70" s="73"/>
      <c r="Z70" s="73"/>
      <c r="AA70" s="73"/>
      <c r="AB70" s="73"/>
      <c r="AC70" s="73"/>
      <c r="AD70" s="73"/>
      <c r="AE70" s="73"/>
      <c r="AF70" s="73"/>
      <c r="AG70" s="72" t="e">
        <f>#REF!</f>
        <v>#REF!</v>
      </c>
    </row>
    <row r="71" spans="2:33" s="79" customFormat="1" ht="15.75" hidden="1" outlineLevel="2" x14ac:dyDescent="0.2">
      <c r="B71" s="20"/>
      <c r="C71" s="20"/>
      <c r="D71" s="20" t="s">
        <v>106</v>
      </c>
      <c r="E71" s="66"/>
      <c r="F71" s="67">
        <v>9</v>
      </c>
      <c r="G71" s="68"/>
      <c r="H71" s="69"/>
      <c r="I71" s="69"/>
      <c r="J71" s="85">
        <v>0</v>
      </c>
      <c r="K71" s="70"/>
      <c r="L71" s="71">
        <f t="shared" si="4"/>
        <v>0</v>
      </c>
      <c r="M71" s="72"/>
      <c r="N71" s="73"/>
      <c r="O71" s="73"/>
      <c r="P71" s="73"/>
      <c r="Q71" s="73"/>
      <c r="R71" s="73"/>
      <c r="S71" s="73"/>
      <c r="T71" s="73"/>
      <c r="U71" s="73"/>
      <c r="V71" s="73"/>
      <c r="W71" s="73"/>
      <c r="X71" s="73"/>
      <c r="Y71" s="73"/>
      <c r="Z71" s="73"/>
      <c r="AA71" s="73"/>
      <c r="AB71" s="73"/>
      <c r="AC71" s="73"/>
      <c r="AD71" s="73"/>
      <c r="AE71" s="73"/>
      <c r="AF71" s="73"/>
      <c r="AG71" s="72"/>
    </row>
    <row r="72" spans="2:33" s="79" customFormat="1" ht="15.75" hidden="1" outlineLevel="2" x14ac:dyDescent="0.2">
      <c r="B72" s="20"/>
      <c r="C72" s="20"/>
      <c r="D72" s="20" t="s">
        <v>106</v>
      </c>
      <c r="E72" s="66"/>
      <c r="F72" s="67">
        <v>10</v>
      </c>
      <c r="G72" s="68"/>
      <c r="H72" s="69"/>
      <c r="I72" s="69"/>
      <c r="J72" s="85">
        <v>0</v>
      </c>
      <c r="K72" s="70"/>
      <c r="L72" s="71">
        <f t="shared" si="4"/>
        <v>0</v>
      </c>
      <c r="M72" s="72"/>
      <c r="N72" s="73"/>
      <c r="O72" s="73"/>
      <c r="P72" s="73"/>
      <c r="Q72" s="73"/>
      <c r="R72" s="73"/>
      <c r="S72" s="73"/>
      <c r="T72" s="73"/>
      <c r="U72" s="73"/>
      <c r="V72" s="73"/>
      <c r="W72" s="73"/>
      <c r="X72" s="73"/>
      <c r="Y72" s="73"/>
      <c r="Z72" s="73"/>
      <c r="AA72" s="73"/>
      <c r="AB72" s="73"/>
      <c r="AC72" s="73"/>
      <c r="AD72" s="73"/>
      <c r="AE72" s="73"/>
      <c r="AF72" s="73"/>
      <c r="AG72" s="72"/>
    </row>
    <row r="73" spans="2:33" s="79" customFormat="1" ht="15.75" hidden="1" outlineLevel="2" x14ac:dyDescent="0.2">
      <c r="B73" s="20"/>
      <c r="C73" s="20"/>
      <c r="D73" s="20" t="s">
        <v>106</v>
      </c>
      <c r="E73" s="66"/>
      <c r="F73" s="67">
        <v>11</v>
      </c>
      <c r="G73" s="68"/>
      <c r="H73" s="69"/>
      <c r="I73" s="69"/>
      <c r="J73" s="85">
        <v>0</v>
      </c>
      <c r="K73" s="70"/>
      <c r="L73" s="71">
        <f t="shared" si="4"/>
        <v>0</v>
      </c>
      <c r="M73" s="72"/>
      <c r="N73" s="73"/>
      <c r="O73" s="73"/>
      <c r="P73" s="73"/>
      <c r="Q73" s="73"/>
      <c r="R73" s="73"/>
      <c r="S73" s="73"/>
      <c r="T73" s="73"/>
      <c r="U73" s="73"/>
      <c r="V73" s="73"/>
      <c r="W73" s="73"/>
      <c r="X73" s="73"/>
      <c r="Y73" s="73"/>
      <c r="Z73" s="73"/>
      <c r="AA73" s="73"/>
      <c r="AB73" s="73"/>
      <c r="AC73" s="73"/>
      <c r="AD73" s="73"/>
      <c r="AE73" s="73"/>
      <c r="AF73" s="73"/>
      <c r="AG73" s="72"/>
    </row>
    <row r="74" spans="2:33" s="79" customFormat="1" ht="15.75" hidden="1" outlineLevel="2" x14ac:dyDescent="0.2">
      <c r="B74" s="20" t="s">
        <v>106</v>
      </c>
      <c r="C74" s="20" t="s">
        <v>106</v>
      </c>
      <c r="D74" s="20" t="s">
        <v>106</v>
      </c>
      <c r="E74" s="66"/>
      <c r="F74" s="67">
        <v>12</v>
      </c>
      <c r="G74" s="68"/>
      <c r="H74" s="69"/>
      <c r="I74" s="69"/>
      <c r="J74" s="85">
        <v>0</v>
      </c>
      <c r="K74" s="70"/>
      <c r="L74" s="71">
        <f t="shared" si="4"/>
        <v>0</v>
      </c>
      <c r="M74" s="72"/>
      <c r="N74" s="73"/>
      <c r="O74" s="73"/>
      <c r="P74" s="73"/>
      <c r="Q74" s="73"/>
      <c r="R74" s="73"/>
      <c r="S74" s="73"/>
      <c r="T74" s="73"/>
      <c r="U74" s="73"/>
      <c r="V74" s="73"/>
      <c r="W74" s="73"/>
      <c r="X74" s="73"/>
      <c r="Y74" s="73"/>
      <c r="Z74" s="73"/>
      <c r="AA74" s="73"/>
      <c r="AB74" s="73"/>
      <c r="AC74" s="73"/>
      <c r="AD74" s="73"/>
      <c r="AE74" s="73"/>
      <c r="AF74" s="73"/>
      <c r="AG74" s="72"/>
    </row>
    <row r="75" spans="2:33" s="79" customFormat="1" ht="15.75" hidden="1" outlineLevel="2" x14ac:dyDescent="0.2">
      <c r="B75" s="80"/>
      <c r="C75" s="80"/>
      <c r="D75" s="80"/>
      <c r="E75" s="66"/>
      <c r="F75" s="67">
        <v>13</v>
      </c>
      <c r="G75" s="68"/>
      <c r="H75" s="69"/>
      <c r="I75" s="69"/>
      <c r="J75" s="85">
        <v>0</v>
      </c>
      <c r="K75" s="70"/>
      <c r="L75" s="71">
        <f t="shared" si="4"/>
        <v>0</v>
      </c>
      <c r="M75" s="72"/>
      <c r="N75" s="73"/>
      <c r="O75" s="73"/>
      <c r="P75" s="73"/>
      <c r="Q75" s="73"/>
      <c r="R75" s="73"/>
      <c r="S75" s="73"/>
      <c r="T75" s="73"/>
      <c r="U75" s="73"/>
      <c r="V75" s="73"/>
      <c r="W75" s="73"/>
      <c r="X75" s="73"/>
      <c r="Y75" s="73"/>
      <c r="Z75" s="73"/>
      <c r="AA75" s="73"/>
      <c r="AB75" s="73"/>
      <c r="AC75" s="73"/>
      <c r="AD75" s="73"/>
      <c r="AE75" s="73"/>
      <c r="AF75" s="73"/>
      <c r="AG75" s="72"/>
    </row>
    <row r="76" spans="2:33" s="79" customFormat="1" ht="15.75" hidden="1" outlineLevel="2" x14ac:dyDescent="0.2">
      <c r="B76" s="80"/>
      <c r="C76" s="80"/>
      <c r="D76" s="80"/>
      <c r="E76" s="66"/>
      <c r="F76" s="67">
        <v>14</v>
      </c>
      <c r="G76" s="68"/>
      <c r="H76" s="69"/>
      <c r="I76" s="69"/>
      <c r="J76" s="85">
        <v>0</v>
      </c>
      <c r="K76" s="70"/>
      <c r="L76" s="71">
        <f t="shared" si="4"/>
        <v>0</v>
      </c>
      <c r="M76" s="72"/>
      <c r="N76" s="73"/>
      <c r="O76" s="73"/>
      <c r="P76" s="73"/>
      <c r="Q76" s="73"/>
      <c r="R76" s="73"/>
      <c r="S76" s="73"/>
      <c r="T76" s="73"/>
      <c r="U76" s="73"/>
      <c r="V76" s="73"/>
      <c r="W76" s="73"/>
      <c r="X76" s="73"/>
      <c r="Y76" s="73"/>
      <c r="Z76" s="73"/>
      <c r="AA76" s="73"/>
      <c r="AB76" s="73"/>
      <c r="AC76" s="73"/>
      <c r="AD76" s="73"/>
      <c r="AE76" s="73"/>
      <c r="AF76" s="73"/>
      <c r="AG76" s="72"/>
    </row>
    <row r="77" spans="2:33" s="79" customFormat="1" ht="15.75" hidden="1" outlineLevel="2" x14ac:dyDescent="0.2">
      <c r="B77" s="80"/>
      <c r="C77" s="80"/>
      <c r="D77" s="80"/>
      <c r="E77" s="66"/>
      <c r="F77" s="67">
        <v>15</v>
      </c>
      <c r="G77" s="68"/>
      <c r="H77" s="69"/>
      <c r="I77" s="69"/>
      <c r="J77" s="85">
        <v>0</v>
      </c>
      <c r="K77" s="70"/>
      <c r="L77" s="71">
        <f t="shared" si="4"/>
        <v>0</v>
      </c>
      <c r="M77" s="72"/>
      <c r="N77" s="73"/>
      <c r="O77" s="73"/>
      <c r="P77" s="73"/>
      <c r="Q77" s="73"/>
      <c r="R77" s="73"/>
      <c r="S77" s="73"/>
      <c r="T77" s="73"/>
      <c r="U77" s="73"/>
      <c r="V77" s="73"/>
      <c r="W77" s="73"/>
      <c r="X77" s="73"/>
      <c r="Y77" s="73"/>
      <c r="Z77" s="73"/>
      <c r="AA77" s="73"/>
      <c r="AB77" s="73"/>
      <c r="AC77" s="73"/>
      <c r="AD77" s="73"/>
      <c r="AE77" s="73"/>
      <c r="AF77" s="73"/>
      <c r="AG77" s="72"/>
    </row>
    <row r="78" spans="2:33" s="65" customFormat="1" ht="15.75" x14ac:dyDescent="0.2">
      <c r="B78" s="54" t="s">
        <v>70</v>
      </c>
      <c r="C78" s="54" t="s">
        <v>70</v>
      </c>
      <c r="D78" s="54" t="s">
        <v>70</v>
      </c>
      <c r="E78" s="55" t="s">
        <v>15</v>
      </c>
      <c r="F78" s="56"/>
      <c r="G78" s="57"/>
      <c r="H78" s="58" t="s">
        <v>105</v>
      </c>
      <c r="I78" s="59">
        <f>SUM(K79:K93)</f>
        <v>1</v>
      </c>
      <c r="J78" s="60">
        <f>IF(SUM($K79:$K93)=100%,SUMPRODUCT($K79:$K93,J79:J93),NA())</f>
        <v>0</v>
      </c>
      <c r="K78" s="61">
        <f>L8</f>
        <v>0.1</v>
      </c>
      <c r="L78" s="62">
        <f>SUBTOTAL(9,L79:L93)</f>
        <v>0</v>
      </c>
      <c r="M78" s="63">
        <f>IFERROR($K78*J78,NA())</f>
        <v>0</v>
      </c>
      <c r="N78" s="64">
        <f t="array" ref="N78">SUM(
IF(N79:N93="",0,
IF(VALUE($J79:$J93)&gt;=N79:N93,1,0)
))</f>
        <v>0</v>
      </c>
      <c r="O78" s="64">
        <f t="array" ref="O78">SUM(
IF(O79:O93="",0,
IF(VALUE($J79:$J93)&gt;=O79:O93,1,0)
))</f>
        <v>0</v>
      </c>
      <c r="P78" s="64">
        <f t="array" ref="P78">SUM(
IF(P79:P93="",0,
IF(VALUE($J79:$J93)&gt;=P79:P93,1,0)
))</f>
        <v>0</v>
      </c>
      <c r="Q78" s="64">
        <f t="array" ref="Q78">SUM(
IF(Q79:Q93="",0,
IF(VALUE($J79:$J93)&gt;=Q79:Q93,1,0)
))</f>
        <v>0</v>
      </c>
      <c r="R78" s="64">
        <f t="array" ref="R78">SUM(
IF(R79:R93="",0,
IF(VALUE($J79:$J93)&gt;=R79:R93,1,0)
))</f>
        <v>0</v>
      </c>
      <c r="S78" s="64">
        <f t="array" ref="S78">SUM(
IF(S79:S93="",0,
IF(VALUE($J79:$J93)&gt;=S79:S93,1,0)
))</f>
        <v>0</v>
      </c>
      <c r="T78" s="64">
        <f t="array" ref="T78">SUM(
IF(T79:T93="",0,
IF(VALUE($J79:$J93)&gt;=T79:T93,1,0)
))</f>
        <v>0</v>
      </c>
      <c r="U78" s="64">
        <f t="array" ref="U78">SUM(
IF(U79:U93="",0,
IF(VALUE($J79:$J93)&gt;=U79:U93,1,0)
))</f>
        <v>0</v>
      </c>
      <c r="V78" s="64">
        <f t="array" ref="V78">SUM(
IF(V79:V93="",0,
IF(VALUE($J79:$J93)&gt;=V79:V93,1,0)
))</f>
        <v>0</v>
      </c>
      <c r="W78" s="64">
        <f t="array" ref="W78">SUM(
IF(W79:W93="",0,
IF(VALUE($J79:$J93)&gt;=W79:W93,1,0)
))</f>
        <v>0</v>
      </c>
      <c r="X78" s="64">
        <f t="array" ref="X78">SUM(
IF(X79:X93="",0,
IF(VALUE($J79:$J93)&gt;=X79:X93,1,0)
))</f>
        <v>0</v>
      </c>
      <c r="Y78" s="64">
        <f t="array" ref="Y78">SUM(
IF(Y79:Y93="",0,
IF(VALUE($J79:$J93)&gt;=Y79:Y93,1,0)
))</f>
        <v>0</v>
      </c>
      <c r="Z78" s="64">
        <f t="array" ref="Z78">SUM(
IF(Z79:Z93="",0,
IF(VALUE($J79:$J93)&gt;=Z79:Z93,1,0)
))</f>
        <v>0</v>
      </c>
      <c r="AA78" s="64">
        <f t="array" ref="AA78">SUM(
IF(AA79:AA93="",0,
IF(VALUE($J79:$J93)&gt;=AA79:AA93,1,0)
))</f>
        <v>0</v>
      </c>
      <c r="AB78" s="64">
        <f t="array" ref="AB78">SUM(
IF(AB79:AB93="",0,
IF(VALUE($J79:$J93)&gt;=AB79:AB93,1,0)
))</f>
        <v>0</v>
      </c>
      <c r="AC78" s="64">
        <f t="array" ref="AC78">SUM(
IF(AC79:AC93="",0,
IF(VALUE($J79:$J93)&gt;=AC79:AC93,1,0)
))</f>
        <v>0</v>
      </c>
      <c r="AD78" s="64">
        <f t="array" ref="AD78">SUM(
IF(AD79:AD93="",0,
IF(VALUE($J79:$J93)&gt;=AD79:AD93,1,0)
))</f>
        <v>0</v>
      </c>
      <c r="AE78" s="64">
        <f t="array" ref="AE78">SUM(
IF(AE79:AE93="",0,
IF(VALUE($J79:$J93)&gt;=AE79:AE93,1,0)
))</f>
        <v>0</v>
      </c>
      <c r="AF78" s="64">
        <f t="array" ref="AF78">SUM(
IF(AF79:AF93="",0,
IF(VALUE($J79:$J93)&gt;=AF79:AF93,1,0)
))</f>
        <v>0</v>
      </c>
    </row>
    <row r="79" spans="2:33" s="79" customFormat="1" ht="38.25" outlineLevel="1" x14ac:dyDescent="0.2">
      <c r="B79" s="20" t="s">
        <v>68</v>
      </c>
      <c r="C79" s="20" t="s">
        <v>67</v>
      </c>
      <c r="D79" s="20" t="s">
        <v>70</v>
      </c>
      <c r="E79" s="66"/>
      <c r="F79" s="67">
        <v>1</v>
      </c>
      <c r="G79" s="68" t="s">
        <v>44</v>
      </c>
      <c r="H79" s="69" t="s">
        <v>82</v>
      </c>
      <c r="I79" s="69" t="s">
        <v>66</v>
      </c>
      <c r="J79" s="85">
        <v>0</v>
      </c>
      <c r="K79" s="70">
        <v>0.5</v>
      </c>
      <c r="L79" s="71">
        <f t="shared" ref="L79:L93" si="5">$K79*J79</f>
        <v>0</v>
      </c>
      <c r="M79" s="72"/>
      <c r="N79" s="73"/>
      <c r="O79" s="73"/>
      <c r="P79" s="73"/>
      <c r="Q79" s="73"/>
      <c r="R79" s="73"/>
      <c r="S79" s="73"/>
      <c r="T79" s="73"/>
      <c r="U79" s="73"/>
      <c r="V79" s="73"/>
      <c r="W79" s="73"/>
      <c r="X79" s="73">
        <v>7</v>
      </c>
      <c r="Y79" s="73">
        <v>7</v>
      </c>
      <c r="Z79" s="73">
        <v>7</v>
      </c>
      <c r="AA79" s="73">
        <v>7</v>
      </c>
      <c r="AB79" s="73">
        <v>7</v>
      </c>
      <c r="AC79" s="73">
        <v>7</v>
      </c>
      <c r="AD79" s="73"/>
      <c r="AE79" s="73"/>
      <c r="AF79" s="73"/>
      <c r="AG79" s="72" t="e">
        <f>#REF!</f>
        <v>#REF!</v>
      </c>
    </row>
    <row r="80" spans="2:33" s="79" customFormat="1" ht="38.25" outlineLevel="1" collapsed="1" x14ac:dyDescent="0.2">
      <c r="B80" s="20" t="s">
        <v>68</v>
      </c>
      <c r="C80" s="20" t="s">
        <v>67</v>
      </c>
      <c r="D80" s="20" t="s">
        <v>70</v>
      </c>
      <c r="E80" s="66"/>
      <c r="F80" s="67">
        <v>2</v>
      </c>
      <c r="G80" s="68" t="s">
        <v>85</v>
      </c>
      <c r="H80" s="69" t="s">
        <v>84</v>
      </c>
      <c r="I80" s="69" t="s">
        <v>66</v>
      </c>
      <c r="J80" s="85">
        <v>0</v>
      </c>
      <c r="K80" s="70">
        <v>0.5</v>
      </c>
      <c r="L80" s="71">
        <f t="shared" si="5"/>
        <v>0</v>
      </c>
      <c r="M80" s="72"/>
      <c r="N80" s="73"/>
      <c r="O80" s="73"/>
      <c r="P80" s="73"/>
      <c r="Q80" s="73"/>
      <c r="R80" s="73"/>
      <c r="S80" s="73"/>
      <c r="T80" s="73"/>
      <c r="U80" s="73"/>
      <c r="V80" s="73"/>
      <c r="W80" s="73"/>
      <c r="X80" s="73">
        <v>7</v>
      </c>
      <c r="Y80" s="73">
        <v>7</v>
      </c>
      <c r="Z80" s="73">
        <v>7</v>
      </c>
      <c r="AA80" s="73">
        <v>7</v>
      </c>
      <c r="AB80" s="73">
        <v>7</v>
      </c>
      <c r="AC80" s="73">
        <v>7</v>
      </c>
      <c r="AD80" s="73"/>
      <c r="AE80" s="73"/>
      <c r="AF80" s="73"/>
      <c r="AG80" s="72" t="e">
        <f>#REF!</f>
        <v>#REF!</v>
      </c>
    </row>
    <row r="81" spans="2:32" s="79" customFormat="1" ht="15.75" hidden="1" outlineLevel="2" x14ac:dyDescent="0.2">
      <c r="B81" s="20" t="s">
        <v>106</v>
      </c>
      <c r="C81" s="20" t="s">
        <v>106</v>
      </c>
      <c r="D81" s="20" t="s">
        <v>106</v>
      </c>
      <c r="E81" s="66"/>
      <c r="F81" s="67">
        <v>3</v>
      </c>
      <c r="G81" s="68" t="s">
        <v>106</v>
      </c>
      <c r="H81" s="69" t="s">
        <v>106</v>
      </c>
      <c r="I81" s="69" t="s">
        <v>106</v>
      </c>
      <c r="J81" s="85">
        <v>0</v>
      </c>
      <c r="K81" s="70"/>
      <c r="L81" s="71">
        <f t="shared" si="5"/>
        <v>0</v>
      </c>
      <c r="M81" s="72"/>
      <c r="N81" s="73"/>
      <c r="O81" s="73"/>
      <c r="P81" s="73"/>
      <c r="Q81" s="73"/>
      <c r="R81" s="73"/>
      <c r="S81" s="73"/>
      <c r="T81" s="73"/>
      <c r="U81" s="73"/>
      <c r="V81" s="73"/>
      <c r="W81" s="73"/>
      <c r="X81" s="73"/>
      <c r="Y81" s="73"/>
      <c r="Z81" s="73"/>
      <c r="AA81" s="73"/>
      <c r="AB81" s="73"/>
      <c r="AC81" s="73"/>
      <c r="AD81" s="73"/>
      <c r="AE81" s="73"/>
      <c r="AF81" s="73"/>
    </row>
    <row r="82" spans="2:32" s="79" customFormat="1" ht="15.75" hidden="1" outlineLevel="2" x14ac:dyDescent="0.2">
      <c r="B82" s="80"/>
      <c r="C82" s="80"/>
      <c r="D82" s="80"/>
      <c r="E82" s="66"/>
      <c r="F82" s="67">
        <v>4</v>
      </c>
      <c r="G82" s="68"/>
      <c r="H82" s="69" t="s">
        <v>106</v>
      </c>
      <c r="I82" s="69"/>
      <c r="J82" s="85">
        <v>0</v>
      </c>
      <c r="K82" s="70"/>
      <c r="L82" s="71">
        <f t="shared" si="5"/>
        <v>0</v>
      </c>
      <c r="M82" s="72"/>
      <c r="N82" s="73"/>
      <c r="O82" s="73"/>
      <c r="P82" s="73"/>
      <c r="Q82" s="73"/>
      <c r="R82" s="73"/>
      <c r="S82" s="73"/>
      <c r="T82" s="73"/>
      <c r="U82" s="73"/>
      <c r="V82" s="73"/>
      <c r="W82" s="73"/>
      <c r="X82" s="73"/>
      <c r="Y82" s="73"/>
      <c r="Z82" s="73"/>
      <c r="AA82" s="73"/>
      <c r="AB82" s="73"/>
      <c r="AC82" s="73"/>
      <c r="AD82" s="73"/>
      <c r="AE82" s="73"/>
      <c r="AF82" s="73"/>
    </row>
    <row r="83" spans="2:32" s="79" customFormat="1" ht="15.75" hidden="1" outlineLevel="2" x14ac:dyDescent="0.2">
      <c r="B83" s="80"/>
      <c r="C83" s="80"/>
      <c r="D83" s="80"/>
      <c r="E83" s="66"/>
      <c r="F83" s="67">
        <v>5</v>
      </c>
      <c r="G83" s="68"/>
      <c r="H83" s="69" t="s">
        <v>106</v>
      </c>
      <c r="I83" s="69"/>
      <c r="J83" s="85">
        <v>0</v>
      </c>
      <c r="K83" s="70"/>
      <c r="L83" s="71">
        <f t="shared" si="5"/>
        <v>0</v>
      </c>
      <c r="M83" s="72"/>
      <c r="N83" s="73"/>
      <c r="O83" s="73"/>
      <c r="P83" s="73"/>
      <c r="Q83" s="73"/>
      <c r="R83" s="73"/>
      <c r="S83" s="73"/>
      <c r="T83" s="73"/>
      <c r="U83" s="73"/>
      <c r="V83" s="73"/>
      <c r="W83" s="73"/>
      <c r="X83" s="73"/>
      <c r="Y83" s="73"/>
      <c r="Z83" s="73"/>
      <c r="AA83" s="73"/>
      <c r="AB83" s="73"/>
      <c r="AC83" s="73"/>
      <c r="AD83" s="73"/>
      <c r="AE83" s="73"/>
      <c r="AF83" s="73"/>
    </row>
    <row r="84" spans="2:32" s="79" customFormat="1" ht="15.75" hidden="1" outlineLevel="2" x14ac:dyDescent="0.2">
      <c r="B84" s="80"/>
      <c r="C84" s="80"/>
      <c r="D84" s="80"/>
      <c r="E84" s="66"/>
      <c r="F84" s="67">
        <v>6</v>
      </c>
      <c r="G84" s="68"/>
      <c r="H84" s="69" t="s">
        <v>106</v>
      </c>
      <c r="I84" s="69"/>
      <c r="J84" s="85">
        <v>0</v>
      </c>
      <c r="K84" s="70"/>
      <c r="L84" s="71">
        <f t="shared" si="5"/>
        <v>0</v>
      </c>
      <c r="M84" s="72"/>
      <c r="N84" s="73"/>
      <c r="O84" s="73"/>
      <c r="P84" s="73"/>
      <c r="Q84" s="73"/>
      <c r="R84" s="73"/>
      <c r="S84" s="73"/>
      <c r="T84" s="73"/>
      <c r="U84" s="73"/>
      <c r="V84" s="73"/>
      <c r="W84" s="73"/>
      <c r="X84" s="73"/>
      <c r="Y84" s="73"/>
      <c r="Z84" s="73"/>
      <c r="AA84" s="73"/>
      <c r="AB84" s="73"/>
      <c r="AC84" s="73"/>
      <c r="AD84" s="73"/>
      <c r="AE84" s="73"/>
      <c r="AF84" s="73"/>
    </row>
    <row r="85" spans="2:32" s="79" customFormat="1" ht="15.75" hidden="1" outlineLevel="2" x14ac:dyDescent="0.2">
      <c r="B85" s="80"/>
      <c r="C85" s="80"/>
      <c r="D85" s="80"/>
      <c r="E85" s="66"/>
      <c r="F85" s="67">
        <v>7</v>
      </c>
      <c r="G85" s="68"/>
      <c r="H85" s="69"/>
      <c r="I85" s="69"/>
      <c r="J85" s="85">
        <v>0</v>
      </c>
      <c r="K85" s="70"/>
      <c r="L85" s="71">
        <f t="shared" si="5"/>
        <v>0</v>
      </c>
      <c r="M85" s="72"/>
      <c r="N85" s="73"/>
      <c r="O85" s="73"/>
      <c r="P85" s="73"/>
      <c r="Q85" s="73"/>
      <c r="R85" s="73"/>
      <c r="S85" s="73"/>
      <c r="T85" s="73"/>
      <c r="U85" s="73"/>
      <c r="V85" s="73"/>
      <c r="W85" s="73"/>
      <c r="X85" s="73"/>
      <c r="Y85" s="73"/>
      <c r="Z85" s="73"/>
      <c r="AA85" s="73"/>
      <c r="AB85" s="73"/>
      <c r="AC85" s="73"/>
      <c r="AD85" s="73"/>
      <c r="AE85" s="73"/>
      <c r="AF85" s="73"/>
    </row>
    <row r="86" spans="2:32" s="79" customFormat="1" ht="15.75" hidden="1" outlineLevel="2" x14ac:dyDescent="0.2">
      <c r="B86" s="80"/>
      <c r="C86" s="80"/>
      <c r="D86" s="80"/>
      <c r="E86" s="66"/>
      <c r="F86" s="67">
        <v>8</v>
      </c>
      <c r="G86" s="68"/>
      <c r="H86" s="69"/>
      <c r="I86" s="69"/>
      <c r="J86" s="85">
        <v>0</v>
      </c>
      <c r="K86" s="70"/>
      <c r="L86" s="71">
        <f t="shared" si="5"/>
        <v>0</v>
      </c>
      <c r="M86" s="72"/>
      <c r="N86" s="73"/>
      <c r="O86" s="73"/>
      <c r="P86" s="73"/>
      <c r="Q86" s="73"/>
      <c r="R86" s="73"/>
      <c r="S86" s="73"/>
      <c r="T86" s="73"/>
      <c r="U86" s="73"/>
      <c r="V86" s="73"/>
      <c r="W86" s="73"/>
      <c r="X86" s="73"/>
      <c r="Y86" s="73"/>
      <c r="Z86" s="73"/>
      <c r="AA86" s="73"/>
      <c r="AB86" s="73"/>
      <c r="AC86" s="73"/>
      <c r="AD86" s="73"/>
      <c r="AE86" s="73"/>
      <c r="AF86" s="73"/>
    </row>
    <row r="87" spans="2:32" s="79" customFormat="1" ht="15.75" hidden="1" outlineLevel="2" x14ac:dyDescent="0.2">
      <c r="B87" s="80"/>
      <c r="C87" s="80"/>
      <c r="D87" s="80"/>
      <c r="E87" s="66"/>
      <c r="F87" s="67">
        <v>9</v>
      </c>
      <c r="G87" s="68"/>
      <c r="H87" s="69"/>
      <c r="I87" s="69"/>
      <c r="J87" s="85">
        <v>0</v>
      </c>
      <c r="K87" s="70"/>
      <c r="L87" s="71">
        <f t="shared" si="5"/>
        <v>0</v>
      </c>
      <c r="M87" s="72"/>
      <c r="N87" s="73"/>
      <c r="O87" s="73"/>
      <c r="P87" s="73"/>
      <c r="Q87" s="73"/>
      <c r="R87" s="73"/>
      <c r="S87" s="73"/>
      <c r="T87" s="73"/>
      <c r="U87" s="73"/>
      <c r="V87" s="73"/>
      <c r="W87" s="73"/>
      <c r="X87" s="73"/>
      <c r="Y87" s="73"/>
      <c r="Z87" s="73"/>
      <c r="AA87" s="73"/>
      <c r="AB87" s="73"/>
      <c r="AC87" s="73"/>
      <c r="AD87" s="73"/>
      <c r="AE87" s="73"/>
      <c r="AF87" s="73"/>
    </row>
    <row r="88" spans="2:32" s="79" customFormat="1" ht="15.75" hidden="1" outlineLevel="2" x14ac:dyDescent="0.2">
      <c r="B88" s="80"/>
      <c r="C88" s="80"/>
      <c r="D88" s="80"/>
      <c r="E88" s="66"/>
      <c r="F88" s="67">
        <v>10</v>
      </c>
      <c r="G88" s="68"/>
      <c r="H88" s="69"/>
      <c r="I88" s="69"/>
      <c r="J88" s="85">
        <v>0</v>
      </c>
      <c r="K88" s="70"/>
      <c r="L88" s="71">
        <f t="shared" si="5"/>
        <v>0</v>
      </c>
      <c r="M88" s="72"/>
      <c r="N88" s="73"/>
      <c r="O88" s="73"/>
      <c r="P88" s="73"/>
      <c r="Q88" s="73"/>
      <c r="R88" s="73"/>
      <c r="S88" s="73"/>
      <c r="T88" s="73"/>
      <c r="U88" s="73"/>
      <c r="V88" s="73"/>
      <c r="W88" s="73"/>
      <c r="X88" s="73"/>
      <c r="Y88" s="73"/>
      <c r="Z88" s="73"/>
      <c r="AA88" s="73"/>
      <c r="AB88" s="73"/>
      <c r="AC88" s="73"/>
      <c r="AD88" s="73"/>
      <c r="AE88" s="73"/>
      <c r="AF88" s="73"/>
    </row>
    <row r="89" spans="2:32" s="79" customFormat="1" ht="15.75" hidden="1" outlineLevel="2" x14ac:dyDescent="0.2">
      <c r="B89" s="80"/>
      <c r="C89" s="80"/>
      <c r="D89" s="80"/>
      <c r="E89" s="66"/>
      <c r="F89" s="67">
        <v>11</v>
      </c>
      <c r="G89" s="68"/>
      <c r="H89" s="69"/>
      <c r="I89" s="69"/>
      <c r="J89" s="85">
        <v>0</v>
      </c>
      <c r="K89" s="70"/>
      <c r="L89" s="71">
        <f t="shared" si="5"/>
        <v>0</v>
      </c>
      <c r="M89" s="72"/>
      <c r="N89" s="73"/>
      <c r="O89" s="73"/>
      <c r="P89" s="73"/>
      <c r="Q89" s="73"/>
      <c r="R89" s="73"/>
      <c r="S89" s="73"/>
      <c r="T89" s="73"/>
      <c r="U89" s="73"/>
      <c r="V89" s="73"/>
      <c r="W89" s="73"/>
      <c r="X89" s="73"/>
      <c r="Y89" s="73"/>
      <c r="Z89" s="73"/>
      <c r="AA89" s="73"/>
      <c r="AB89" s="73"/>
      <c r="AC89" s="73"/>
      <c r="AD89" s="73"/>
      <c r="AE89" s="73"/>
      <c r="AF89" s="73"/>
    </row>
    <row r="90" spans="2:32" s="79" customFormat="1" ht="15.75" hidden="1" outlineLevel="2" x14ac:dyDescent="0.2">
      <c r="B90" s="80"/>
      <c r="C90" s="80"/>
      <c r="D90" s="80"/>
      <c r="E90" s="66"/>
      <c r="F90" s="67">
        <v>12</v>
      </c>
      <c r="G90" s="68"/>
      <c r="H90" s="69"/>
      <c r="I90" s="69"/>
      <c r="J90" s="85">
        <v>0</v>
      </c>
      <c r="K90" s="70"/>
      <c r="L90" s="71">
        <f t="shared" si="5"/>
        <v>0</v>
      </c>
      <c r="M90" s="72"/>
      <c r="N90" s="73"/>
      <c r="O90" s="73"/>
      <c r="P90" s="73"/>
      <c r="Q90" s="73"/>
      <c r="R90" s="73"/>
      <c r="S90" s="73"/>
      <c r="T90" s="73"/>
      <c r="U90" s="73"/>
      <c r="V90" s="73"/>
      <c r="W90" s="73"/>
      <c r="X90" s="73"/>
      <c r="Y90" s="73"/>
      <c r="Z90" s="73"/>
      <c r="AA90" s="73"/>
      <c r="AB90" s="73"/>
      <c r="AC90" s="73"/>
      <c r="AD90" s="73"/>
      <c r="AE90" s="73"/>
      <c r="AF90" s="73"/>
    </row>
    <row r="91" spans="2:32" s="79" customFormat="1" ht="15.75" hidden="1" outlineLevel="2" x14ac:dyDescent="0.2">
      <c r="B91" s="80"/>
      <c r="C91" s="80"/>
      <c r="D91" s="80"/>
      <c r="E91" s="66"/>
      <c r="F91" s="67">
        <v>13</v>
      </c>
      <c r="G91" s="68"/>
      <c r="H91" s="69"/>
      <c r="I91" s="69"/>
      <c r="J91" s="85">
        <v>0</v>
      </c>
      <c r="K91" s="70"/>
      <c r="L91" s="71">
        <f t="shared" si="5"/>
        <v>0</v>
      </c>
      <c r="M91" s="72"/>
      <c r="N91" s="73"/>
      <c r="O91" s="73"/>
      <c r="P91" s="73"/>
      <c r="Q91" s="73"/>
      <c r="R91" s="73"/>
      <c r="S91" s="73"/>
      <c r="T91" s="73"/>
      <c r="U91" s="73"/>
      <c r="V91" s="73"/>
      <c r="W91" s="73"/>
      <c r="X91" s="73"/>
      <c r="Y91" s="73"/>
      <c r="Z91" s="73"/>
      <c r="AA91" s="73"/>
      <c r="AB91" s="73"/>
      <c r="AC91" s="73"/>
      <c r="AD91" s="73"/>
      <c r="AE91" s="73"/>
      <c r="AF91" s="73"/>
    </row>
    <row r="92" spans="2:32" s="79" customFormat="1" ht="15.75" hidden="1" outlineLevel="2" x14ac:dyDescent="0.2">
      <c r="B92" s="80"/>
      <c r="C92" s="80"/>
      <c r="D92" s="80"/>
      <c r="E92" s="66"/>
      <c r="F92" s="67">
        <v>14</v>
      </c>
      <c r="G92" s="68"/>
      <c r="H92" s="69"/>
      <c r="I92" s="69"/>
      <c r="J92" s="85">
        <v>0</v>
      </c>
      <c r="K92" s="70"/>
      <c r="L92" s="71">
        <f t="shared" si="5"/>
        <v>0</v>
      </c>
      <c r="M92" s="72"/>
      <c r="N92" s="73"/>
      <c r="O92" s="73"/>
      <c r="P92" s="73"/>
      <c r="Q92" s="73"/>
      <c r="R92" s="73"/>
      <c r="S92" s="73"/>
      <c r="T92" s="73"/>
      <c r="U92" s="73"/>
      <c r="V92" s="73"/>
      <c r="W92" s="73"/>
      <c r="X92" s="73"/>
      <c r="Y92" s="73"/>
      <c r="Z92" s="73"/>
      <c r="AA92" s="73"/>
      <c r="AB92" s="73"/>
      <c r="AC92" s="73"/>
      <c r="AD92" s="73"/>
      <c r="AE92" s="73"/>
      <c r="AF92" s="73"/>
    </row>
    <row r="93" spans="2:32" s="79" customFormat="1" ht="15.75" hidden="1" outlineLevel="2" x14ac:dyDescent="0.2">
      <c r="B93" s="80"/>
      <c r="C93" s="80"/>
      <c r="D93" s="80"/>
      <c r="E93" s="66"/>
      <c r="F93" s="67">
        <v>15</v>
      </c>
      <c r="G93" s="68"/>
      <c r="H93" s="69"/>
      <c r="I93" s="69"/>
      <c r="J93" s="85">
        <v>0</v>
      </c>
      <c r="K93" s="70"/>
      <c r="L93" s="71">
        <f t="shared" si="5"/>
        <v>0</v>
      </c>
      <c r="M93" s="72"/>
      <c r="N93" s="73"/>
      <c r="O93" s="73"/>
      <c r="P93" s="73"/>
      <c r="Q93" s="73"/>
      <c r="R93" s="73"/>
      <c r="S93" s="73"/>
      <c r="T93" s="73"/>
      <c r="U93" s="73"/>
      <c r="V93" s="73"/>
      <c r="W93" s="73"/>
      <c r="X93" s="73"/>
      <c r="Y93" s="73"/>
      <c r="Z93" s="73"/>
      <c r="AA93" s="73"/>
      <c r="AB93" s="73"/>
      <c r="AC93" s="73"/>
      <c r="AD93" s="73"/>
      <c r="AE93" s="73"/>
      <c r="AF93" s="73"/>
    </row>
    <row r="94" spans="2:32" s="65" customFormat="1" ht="15.75" hidden="1" outlineLevel="2" x14ac:dyDescent="0.2">
      <c r="B94" s="54"/>
      <c r="C94" s="54"/>
      <c r="D94" s="54"/>
      <c r="E94" s="55" t="s">
        <v>110</v>
      </c>
      <c r="F94" s="56"/>
      <c r="G94" s="57"/>
      <c r="H94" s="58" t="s">
        <v>105</v>
      </c>
      <c r="I94" s="59">
        <f>SUM(K95:K109)</f>
        <v>1</v>
      </c>
      <c r="J94" s="60">
        <f>IF(SUM($K95:$K109)=100%,SUMPRODUCT($K95:$K109,J95:J109),NA())</f>
        <v>0</v>
      </c>
      <c r="K94" s="61">
        <f>L9</f>
        <v>0</v>
      </c>
      <c r="L94" s="62">
        <f>SUBTOTAL(9,L95:L109)</f>
        <v>0</v>
      </c>
      <c r="M94" s="63">
        <f>IFERROR($K94*J94,NA())</f>
        <v>0</v>
      </c>
      <c r="N94" s="64">
        <f t="array" ref="N94">SUM(
IF(N95:N109="",0,
IF(VALUE($J95:$J109)&gt;=N95:N109,1,0)
))</f>
        <v>0</v>
      </c>
      <c r="O94" s="64">
        <f t="array" ref="O94">SUM(
IF(O95:O109="",0,
IF(VALUE($J95:$J109)&gt;=O95:O109,1,0)
))</f>
        <v>0</v>
      </c>
      <c r="P94" s="64">
        <f t="array" ref="P94">SUM(
IF(P95:P109="",0,
IF(VALUE($J95:$J109)&gt;=P95:P109,1,0)
))</f>
        <v>0</v>
      </c>
      <c r="Q94" s="64">
        <f t="array" ref="Q94">SUM(
IF(Q95:Q109="",0,
IF(VALUE($J95:$J109)&gt;=Q95:Q109,1,0)
))</f>
        <v>0</v>
      </c>
      <c r="R94" s="64">
        <f t="array" ref="R94">SUM(
IF(R95:R109="",0,
IF(VALUE($J95:$J109)&gt;=R95:R109,1,0)
))</f>
        <v>0</v>
      </c>
      <c r="S94" s="64">
        <f t="array" ref="S94">SUM(
IF(S95:S109="",0,
IF(VALUE($J95:$J109)&gt;=S95:S109,1,0)
))</f>
        <v>0</v>
      </c>
      <c r="T94" s="64">
        <f t="array" ref="T94">SUM(
IF(T95:T109="",0,
IF(VALUE($J95:$J109)&gt;=T95:T109,1,0)
))</f>
        <v>0</v>
      </c>
      <c r="U94" s="64">
        <f t="array" ref="U94">SUM(
IF(U95:U109="",0,
IF(VALUE($J95:$J109)&gt;=U95:U109,1,0)
))</f>
        <v>0</v>
      </c>
      <c r="V94" s="64">
        <f t="array" ref="V94">SUM(
IF(V95:V109="",0,
IF(VALUE($J95:$J109)&gt;=V95:V109,1,0)
))</f>
        <v>0</v>
      </c>
      <c r="W94" s="64">
        <f t="array" ref="W94">SUM(
IF(W95:W109="",0,
IF(VALUE($J95:$J109)&gt;=W95:W109,1,0)
))</f>
        <v>0</v>
      </c>
      <c r="X94" s="64">
        <f t="array" ref="X94">SUM(
IF(X95:X109="",0,
IF(VALUE($J95:$J109)&gt;=X95:X109,1,0)
))</f>
        <v>0</v>
      </c>
      <c r="Y94" s="64">
        <f t="array" ref="Y94">SUM(
IF(Y95:Y109="",0,
IF(VALUE($J95:$J109)&gt;=Y95:Y109,1,0)
))</f>
        <v>0</v>
      </c>
      <c r="Z94" s="64">
        <f t="array" ref="Z94">SUM(
IF(Z95:Z109="",0,
IF(VALUE($J95:$J109)&gt;=Z95:Z109,1,0)
))</f>
        <v>0</v>
      </c>
      <c r="AA94" s="64">
        <f t="array" ref="AA94">SUM(
IF(AA95:AA109="",0,
IF(VALUE($J95:$J109)&gt;=AA95:AA109,1,0)
))</f>
        <v>0</v>
      </c>
      <c r="AB94" s="64">
        <f t="array" ref="AB94">SUM(
IF(AB95:AB109="",0,
IF(VALUE($J95:$J109)&gt;=AB95:AB109,1,0)
))</f>
        <v>0</v>
      </c>
      <c r="AC94" s="64">
        <f t="array" ref="AC94">SUM(
IF(AC95:AC109="",0,
IF(VALUE($J95:$J109)&gt;=AC95:AC109,1,0)
))</f>
        <v>0</v>
      </c>
      <c r="AD94" s="64">
        <f t="array" ref="AD94">SUM(
IF(AD95:AD109="",0,
IF(VALUE($J95:$J109)&gt;=AD95:AD109,1,0)
))</f>
        <v>0</v>
      </c>
      <c r="AE94" s="64">
        <f t="array" ref="AE94">SUM(
IF(AE95:AE109="",0,
IF(VALUE($J95:$J109)&gt;=AE95:AE109,1,0)
))</f>
        <v>0</v>
      </c>
      <c r="AF94" s="64">
        <f t="array" ref="AF94">SUM(
IF(AF95:AF109="",0,
IF(VALUE($J95:$J109)&gt;=AF95:AF109,1,0)
))</f>
        <v>0</v>
      </c>
    </row>
    <row r="95" spans="2:32" s="79" customFormat="1" ht="15.75" hidden="1" outlineLevel="2" x14ac:dyDescent="0.2">
      <c r="B95" s="80"/>
      <c r="C95" s="80"/>
      <c r="D95" s="80"/>
      <c r="E95" s="66"/>
      <c r="F95" s="67">
        <v>1</v>
      </c>
      <c r="G95" s="68"/>
      <c r="H95" s="69"/>
      <c r="I95" s="69"/>
      <c r="J95" s="85">
        <v>0</v>
      </c>
      <c r="K95" s="70">
        <v>0.25</v>
      </c>
      <c r="L95" s="71">
        <f t="shared" ref="L95:L109" si="6">$K95*J95</f>
        <v>0</v>
      </c>
      <c r="M95" s="72"/>
      <c r="N95" s="73"/>
      <c r="O95" s="73"/>
      <c r="P95" s="73"/>
      <c r="Q95" s="73"/>
      <c r="R95" s="73"/>
      <c r="S95" s="73"/>
      <c r="T95" s="73"/>
      <c r="U95" s="73"/>
      <c r="V95" s="73"/>
      <c r="W95" s="73"/>
      <c r="X95" s="73"/>
      <c r="Y95" s="73"/>
      <c r="Z95" s="73"/>
      <c r="AA95" s="73"/>
      <c r="AB95" s="73"/>
      <c r="AC95" s="73"/>
      <c r="AD95" s="73"/>
      <c r="AE95" s="73"/>
      <c r="AF95" s="73"/>
    </row>
    <row r="96" spans="2:32" s="79" customFormat="1" ht="15.75" hidden="1" outlineLevel="2" x14ac:dyDescent="0.2">
      <c r="B96" s="80"/>
      <c r="C96" s="80"/>
      <c r="D96" s="80"/>
      <c r="E96" s="66"/>
      <c r="F96" s="67">
        <v>2</v>
      </c>
      <c r="G96" s="68"/>
      <c r="H96" s="69"/>
      <c r="I96" s="69"/>
      <c r="J96" s="85">
        <v>0</v>
      </c>
      <c r="K96" s="70">
        <v>0.25</v>
      </c>
      <c r="L96" s="71">
        <f t="shared" si="6"/>
        <v>0</v>
      </c>
      <c r="M96" s="72"/>
      <c r="N96" s="73"/>
      <c r="O96" s="73"/>
      <c r="P96" s="73"/>
      <c r="Q96" s="73"/>
      <c r="R96" s="73"/>
      <c r="S96" s="73"/>
      <c r="T96" s="73"/>
      <c r="U96" s="73"/>
      <c r="V96" s="73"/>
      <c r="W96" s="73"/>
      <c r="X96" s="73"/>
      <c r="Y96" s="73"/>
      <c r="Z96" s="73"/>
      <c r="AA96" s="73"/>
      <c r="AB96" s="73"/>
      <c r="AC96" s="73"/>
      <c r="AD96" s="73"/>
      <c r="AE96" s="73"/>
      <c r="AF96" s="73"/>
    </row>
    <row r="97" spans="2:32" s="79" customFormat="1" ht="15.75" hidden="1" outlineLevel="2" x14ac:dyDescent="0.2">
      <c r="B97" s="80"/>
      <c r="C97" s="80"/>
      <c r="D97" s="80"/>
      <c r="E97" s="66"/>
      <c r="F97" s="67">
        <v>3</v>
      </c>
      <c r="G97" s="68"/>
      <c r="H97" s="69"/>
      <c r="I97" s="69"/>
      <c r="J97" s="85">
        <v>0</v>
      </c>
      <c r="K97" s="70">
        <v>0.25</v>
      </c>
      <c r="L97" s="71">
        <f t="shared" si="6"/>
        <v>0</v>
      </c>
      <c r="M97" s="72"/>
      <c r="N97" s="73"/>
      <c r="O97" s="73"/>
      <c r="P97" s="73"/>
      <c r="Q97" s="73"/>
      <c r="R97" s="73"/>
      <c r="S97" s="73"/>
      <c r="T97" s="73"/>
      <c r="U97" s="73"/>
      <c r="V97" s="73"/>
      <c r="W97" s="73"/>
      <c r="X97" s="73"/>
      <c r="Y97" s="73"/>
      <c r="Z97" s="73"/>
      <c r="AA97" s="73"/>
      <c r="AB97" s="73"/>
      <c r="AC97" s="73"/>
      <c r="AD97" s="73"/>
      <c r="AE97" s="73"/>
      <c r="AF97" s="73"/>
    </row>
    <row r="98" spans="2:32" s="79" customFormat="1" ht="15.75" hidden="1" outlineLevel="2" x14ac:dyDescent="0.2">
      <c r="B98" s="80"/>
      <c r="C98" s="80"/>
      <c r="D98" s="80"/>
      <c r="E98" s="66"/>
      <c r="F98" s="67">
        <v>4</v>
      </c>
      <c r="G98" s="68"/>
      <c r="H98" s="69"/>
      <c r="I98" s="69"/>
      <c r="J98" s="85">
        <v>0</v>
      </c>
      <c r="K98" s="70">
        <v>0.25</v>
      </c>
      <c r="L98" s="71">
        <f t="shared" si="6"/>
        <v>0</v>
      </c>
      <c r="M98" s="72"/>
      <c r="N98" s="73"/>
      <c r="O98" s="73"/>
      <c r="P98" s="73"/>
      <c r="Q98" s="73"/>
      <c r="R98" s="73"/>
      <c r="S98" s="73"/>
      <c r="T98" s="73"/>
      <c r="U98" s="73"/>
      <c r="V98" s="73"/>
      <c r="W98" s="73"/>
      <c r="X98" s="73"/>
      <c r="Y98" s="73"/>
      <c r="Z98" s="73"/>
      <c r="AA98" s="73"/>
      <c r="AB98" s="73"/>
      <c r="AC98" s="73"/>
      <c r="AD98" s="73"/>
      <c r="AE98" s="73"/>
      <c r="AF98" s="73"/>
    </row>
    <row r="99" spans="2:32" s="79" customFormat="1" ht="15.75" hidden="1" outlineLevel="2" x14ac:dyDescent="0.2">
      <c r="B99" s="80"/>
      <c r="C99" s="80"/>
      <c r="D99" s="80"/>
      <c r="E99" s="66"/>
      <c r="F99" s="67">
        <v>5</v>
      </c>
      <c r="G99" s="68"/>
      <c r="H99" s="69"/>
      <c r="I99" s="69"/>
      <c r="J99" s="85">
        <v>0</v>
      </c>
      <c r="K99" s="70"/>
      <c r="L99" s="71">
        <f t="shared" si="6"/>
        <v>0</v>
      </c>
      <c r="M99" s="72"/>
      <c r="N99" s="73"/>
      <c r="O99" s="73"/>
      <c r="P99" s="73"/>
      <c r="Q99" s="73"/>
      <c r="R99" s="73"/>
      <c r="S99" s="73"/>
      <c r="T99" s="73"/>
      <c r="U99" s="73"/>
      <c r="V99" s="73"/>
      <c r="W99" s="73"/>
      <c r="X99" s="73"/>
      <c r="Y99" s="73"/>
      <c r="Z99" s="73"/>
      <c r="AA99" s="73"/>
      <c r="AB99" s="73"/>
      <c r="AC99" s="73"/>
      <c r="AD99" s="73"/>
      <c r="AE99" s="73"/>
      <c r="AF99" s="73"/>
    </row>
    <row r="100" spans="2:32" s="79" customFormat="1" ht="15.75" hidden="1" outlineLevel="2" x14ac:dyDescent="0.2">
      <c r="B100" s="80"/>
      <c r="C100" s="80"/>
      <c r="D100" s="80"/>
      <c r="E100" s="66"/>
      <c r="F100" s="67">
        <v>6</v>
      </c>
      <c r="G100" s="68"/>
      <c r="H100" s="69"/>
      <c r="I100" s="69"/>
      <c r="J100" s="85">
        <v>0</v>
      </c>
      <c r="K100" s="70"/>
      <c r="L100" s="71">
        <f t="shared" si="6"/>
        <v>0</v>
      </c>
      <c r="M100" s="72"/>
      <c r="N100" s="73"/>
      <c r="O100" s="73"/>
      <c r="P100" s="73"/>
      <c r="Q100" s="73"/>
      <c r="R100" s="73"/>
      <c r="S100" s="73"/>
      <c r="T100" s="73"/>
      <c r="U100" s="73"/>
      <c r="V100" s="73"/>
      <c r="W100" s="73"/>
      <c r="X100" s="73"/>
      <c r="Y100" s="73"/>
      <c r="Z100" s="73"/>
      <c r="AA100" s="73"/>
      <c r="AB100" s="73"/>
      <c r="AC100" s="73"/>
      <c r="AD100" s="73"/>
      <c r="AE100" s="73"/>
      <c r="AF100" s="73"/>
    </row>
    <row r="101" spans="2:32" s="79" customFormat="1" ht="15.75" hidden="1" outlineLevel="2" x14ac:dyDescent="0.2">
      <c r="B101" s="80"/>
      <c r="C101" s="80"/>
      <c r="D101" s="80"/>
      <c r="E101" s="66"/>
      <c r="F101" s="67">
        <v>7</v>
      </c>
      <c r="G101" s="68"/>
      <c r="H101" s="69"/>
      <c r="I101" s="69"/>
      <c r="J101" s="85">
        <v>0</v>
      </c>
      <c r="K101" s="70"/>
      <c r="L101" s="71">
        <f t="shared" si="6"/>
        <v>0</v>
      </c>
      <c r="M101" s="72"/>
      <c r="N101" s="73"/>
      <c r="O101" s="73"/>
      <c r="P101" s="73"/>
      <c r="Q101" s="73"/>
      <c r="R101" s="73"/>
      <c r="S101" s="73"/>
      <c r="T101" s="73"/>
      <c r="U101" s="73"/>
      <c r="V101" s="73"/>
      <c r="W101" s="73"/>
      <c r="X101" s="73"/>
      <c r="Y101" s="73"/>
      <c r="Z101" s="73"/>
      <c r="AA101" s="73"/>
      <c r="AB101" s="73"/>
      <c r="AC101" s="73"/>
      <c r="AD101" s="73"/>
      <c r="AE101" s="73"/>
      <c r="AF101" s="73"/>
    </row>
    <row r="102" spans="2:32" s="79" customFormat="1" ht="15.75" hidden="1" outlineLevel="2" x14ac:dyDescent="0.2">
      <c r="B102" s="80"/>
      <c r="C102" s="80"/>
      <c r="D102" s="80"/>
      <c r="E102" s="66"/>
      <c r="F102" s="67">
        <v>8</v>
      </c>
      <c r="G102" s="68"/>
      <c r="H102" s="69"/>
      <c r="I102" s="69"/>
      <c r="J102" s="85">
        <v>0</v>
      </c>
      <c r="K102" s="70"/>
      <c r="L102" s="71">
        <f t="shared" si="6"/>
        <v>0</v>
      </c>
      <c r="M102" s="72"/>
      <c r="N102" s="73"/>
      <c r="O102" s="73"/>
      <c r="P102" s="73"/>
      <c r="Q102" s="73"/>
      <c r="R102" s="73"/>
      <c r="S102" s="73"/>
      <c r="T102" s="73"/>
      <c r="U102" s="73"/>
      <c r="V102" s="73"/>
      <c r="W102" s="73"/>
      <c r="X102" s="73"/>
      <c r="Y102" s="73"/>
      <c r="Z102" s="73"/>
      <c r="AA102" s="73"/>
      <c r="AB102" s="73"/>
      <c r="AC102" s="73"/>
      <c r="AD102" s="73"/>
      <c r="AE102" s="73"/>
      <c r="AF102" s="73"/>
    </row>
    <row r="103" spans="2:32" s="79" customFormat="1" ht="15.75" hidden="1" outlineLevel="2" x14ac:dyDescent="0.2">
      <c r="B103" s="80"/>
      <c r="C103" s="80"/>
      <c r="D103" s="80"/>
      <c r="E103" s="66"/>
      <c r="F103" s="67">
        <v>9</v>
      </c>
      <c r="G103" s="68"/>
      <c r="H103" s="69"/>
      <c r="I103" s="69"/>
      <c r="J103" s="85">
        <v>0</v>
      </c>
      <c r="K103" s="70"/>
      <c r="L103" s="71">
        <f t="shared" si="6"/>
        <v>0</v>
      </c>
      <c r="M103" s="72"/>
      <c r="N103" s="73"/>
      <c r="O103" s="73"/>
      <c r="P103" s="73"/>
      <c r="Q103" s="73"/>
      <c r="R103" s="73"/>
      <c r="S103" s="73"/>
      <c r="T103" s="73"/>
      <c r="U103" s="73"/>
      <c r="V103" s="73"/>
      <c r="W103" s="73"/>
      <c r="X103" s="73"/>
      <c r="Y103" s="73"/>
      <c r="Z103" s="73"/>
      <c r="AA103" s="73"/>
      <c r="AB103" s="73"/>
      <c r="AC103" s="73"/>
      <c r="AD103" s="73"/>
      <c r="AE103" s="73"/>
      <c r="AF103" s="73"/>
    </row>
    <row r="104" spans="2:32" s="79" customFormat="1" ht="15.75" hidden="1" outlineLevel="2" x14ac:dyDescent="0.2">
      <c r="B104" s="80"/>
      <c r="C104" s="80"/>
      <c r="D104" s="80"/>
      <c r="E104" s="66"/>
      <c r="F104" s="67">
        <v>10</v>
      </c>
      <c r="G104" s="68"/>
      <c r="H104" s="69"/>
      <c r="I104" s="69"/>
      <c r="J104" s="85">
        <v>0</v>
      </c>
      <c r="K104" s="70"/>
      <c r="L104" s="71">
        <f t="shared" si="6"/>
        <v>0</v>
      </c>
      <c r="M104" s="72"/>
      <c r="N104" s="73"/>
      <c r="O104" s="73"/>
      <c r="P104" s="73"/>
      <c r="Q104" s="73"/>
      <c r="R104" s="73"/>
      <c r="S104" s="73"/>
      <c r="T104" s="73"/>
      <c r="U104" s="73"/>
      <c r="V104" s="73"/>
      <c r="W104" s="73"/>
      <c r="X104" s="73"/>
      <c r="Y104" s="73"/>
      <c r="Z104" s="73"/>
      <c r="AA104" s="73"/>
      <c r="AB104" s="73"/>
      <c r="AC104" s="73"/>
      <c r="AD104" s="73"/>
      <c r="AE104" s="73"/>
      <c r="AF104" s="73"/>
    </row>
    <row r="105" spans="2:32" s="79" customFormat="1" ht="15.75" hidden="1" outlineLevel="2" x14ac:dyDescent="0.2">
      <c r="B105" s="80"/>
      <c r="C105" s="80"/>
      <c r="D105" s="80"/>
      <c r="E105" s="66"/>
      <c r="F105" s="67">
        <v>11</v>
      </c>
      <c r="G105" s="68"/>
      <c r="H105" s="69"/>
      <c r="I105" s="69"/>
      <c r="J105" s="85">
        <v>0</v>
      </c>
      <c r="K105" s="70"/>
      <c r="L105" s="71">
        <f t="shared" si="6"/>
        <v>0</v>
      </c>
      <c r="M105" s="72"/>
      <c r="N105" s="73"/>
      <c r="O105" s="73"/>
      <c r="P105" s="73"/>
      <c r="Q105" s="73"/>
      <c r="R105" s="73"/>
      <c r="S105" s="73"/>
      <c r="T105" s="73"/>
      <c r="U105" s="73"/>
      <c r="V105" s="73"/>
      <c r="W105" s="73"/>
      <c r="X105" s="73"/>
      <c r="Y105" s="73"/>
      <c r="Z105" s="73"/>
      <c r="AA105" s="73"/>
      <c r="AB105" s="73"/>
      <c r="AC105" s="73"/>
      <c r="AD105" s="73"/>
      <c r="AE105" s="73"/>
      <c r="AF105" s="73"/>
    </row>
    <row r="106" spans="2:32" s="79" customFormat="1" ht="15.75" hidden="1" outlineLevel="2" x14ac:dyDescent="0.2">
      <c r="B106" s="80"/>
      <c r="C106" s="80"/>
      <c r="D106" s="80"/>
      <c r="E106" s="66"/>
      <c r="F106" s="67">
        <v>12</v>
      </c>
      <c r="G106" s="68"/>
      <c r="H106" s="69"/>
      <c r="I106" s="69"/>
      <c r="J106" s="85">
        <v>0</v>
      </c>
      <c r="K106" s="70"/>
      <c r="L106" s="71">
        <f t="shared" si="6"/>
        <v>0</v>
      </c>
      <c r="M106" s="72"/>
      <c r="N106" s="73"/>
      <c r="O106" s="73"/>
      <c r="P106" s="73"/>
      <c r="Q106" s="73"/>
      <c r="R106" s="73"/>
      <c r="S106" s="73"/>
      <c r="T106" s="73"/>
      <c r="U106" s="73"/>
      <c r="V106" s="73"/>
      <c r="W106" s="73"/>
      <c r="X106" s="73"/>
      <c r="Y106" s="73"/>
      <c r="Z106" s="73"/>
      <c r="AA106" s="73"/>
      <c r="AB106" s="73"/>
      <c r="AC106" s="73"/>
      <c r="AD106" s="73"/>
      <c r="AE106" s="73"/>
      <c r="AF106" s="73"/>
    </row>
    <row r="107" spans="2:32" s="79" customFormat="1" ht="15.75" hidden="1" outlineLevel="2" x14ac:dyDescent="0.2">
      <c r="B107" s="80"/>
      <c r="C107" s="80"/>
      <c r="D107" s="80"/>
      <c r="E107" s="66"/>
      <c r="F107" s="67">
        <v>13</v>
      </c>
      <c r="G107" s="68"/>
      <c r="H107" s="69"/>
      <c r="I107" s="69"/>
      <c r="J107" s="85">
        <v>0</v>
      </c>
      <c r="K107" s="70"/>
      <c r="L107" s="71">
        <f t="shared" si="6"/>
        <v>0</v>
      </c>
      <c r="M107" s="72"/>
      <c r="N107" s="73"/>
      <c r="O107" s="73"/>
      <c r="P107" s="73"/>
      <c r="Q107" s="73"/>
      <c r="R107" s="73"/>
      <c r="S107" s="73"/>
      <c r="T107" s="73"/>
      <c r="U107" s="73"/>
      <c r="V107" s="73"/>
      <c r="W107" s="73"/>
      <c r="X107" s="73"/>
      <c r="Y107" s="73"/>
      <c r="Z107" s="73"/>
      <c r="AA107" s="73"/>
      <c r="AB107" s="73"/>
      <c r="AC107" s="73"/>
      <c r="AD107" s="73"/>
      <c r="AE107" s="73"/>
      <c r="AF107" s="73"/>
    </row>
    <row r="108" spans="2:32" s="79" customFormat="1" ht="15.75" hidden="1" outlineLevel="2" x14ac:dyDescent="0.2">
      <c r="B108" s="80"/>
      <c r="C108" s="80"/>
      <c r="D108" s="80"/>
      <c r="E108" s="66"/>
      <c r="F108" s="67">
        <v>14</v>
      </c>
      <c r="G108" s="68"/>
      <c r="H108" s="69"/>
      <c r="I108" s="69"/>
      <c r="J108" s="85">
        <v>0</v>
      </c>
      <c r="K108" s="70"/>
      <c r="L108" s="71">
        <f t="shared" si="6"/>
        <v>0</v>
      </c>
      <c r="M108" s="72"/>
      <c r="N108" s="73"/>
      <c r="O108" s="73"/>
      <c r="P108" s="73"/>
      <c r="Q108" s="73"/>
      <c r="R108" s="73"/>
      <c r="S108" s="73"/>
      <c r="T108" s="73"/>
      <c r="U108" s="73"/>
      <c r="V108" s="73"/>
      <c r="W108" s="73"/>
      <c r="X108" s="73"/>
      <c r="Y108" s="73"/>
      <c r="Z108" s="73"/>
      <c r="AA108" s="73"/>
      <c r="AB108" s="73"/>
      <c r="AC108" s="73"/>
      <c r="AD108" s="73"/>
      <c r="AE108" s="73"/>
      <c r="AF108" s="73"/>
    </row>
    <row r="109" spans="2:32" s="79" customFormat="1" ht="15.75" hidden="1" outlineLevel="2" x14ac:dyDescent="0.2">
      <c r="B109" s="80"/>
      <c r="C109" s="80"/>
      <c r="D109" s="80"/>
      <c r="E109" s="66"/>
      <c r="F109" s="67">
        <v>15</v>
      </c>
      <c r="G109" s="68"/>
      <c r="H109" s="69"/>
      <c r="I109" s="69"/>
      <c r="J109" s="85">
        <v>0</v>
      </c>
      <c r="K109" s="70"/>
      <c r="L109" s="71">
        <f t="shared" si="6"/>
        <v>0</v>
      </c>
      <c r="M109" s="72"/>
      <c r="N109" s="73"/>
      <c r="O109" s="73"/>
      <c r="P109" s="73"/>
      <c r="Q109" s="73"/>
      <c r="R109" s="73"/>
      <c r="S109" s="73"/>
      <c r="T109" s="73"/>
      <c r="U109" s="73"/>
      <c r="V109" s="73"/>
      <c r="W109" s="73"/>
      <c r="X109" s="73"/>
      <c r="Y109" s="73"/>
      <c r="Z109" s="73"/>
      <c r="AA109" s="73"/>
      <c r="AB109" s="73"/>
      <c r="AC109" s="73"/>
      <c r="AD109" s="73"/>
      <c r="AE109" s="73"/>
      <c r="AF109" s="73"/>
    </row>
    <row r="110" spans="2:32" s="65" customFormat="1" ht="15.75" hidden="1" outlineLevel="2" x14ac:dyDescent="0.2">
      <c r="B110" s="54"/>
      <c r="C110" s="54"/>
      <c r="D110" s="54"/>
      <c r="E110" s="55" t="s">
        <v>109</v>
      </c>
      <c r="F110" s="56"/>
      <c r="G110" s="57"/>
      <c r="H110" s="58" t="s">
        <v>105</v>
      </c>
      <c r="I110" s="59">
        <f>SUM(K111:K125)</f>
        <v>1</v>
      </c>
      <c r="J110" s="60">
        <f>IF(SUM($K111:$K125)=100%,SUMPRODUCT($K111:$K125,J111:J125),NA())</f>
        <v>0</v>
      </c>
      <c r="K110" s="61">
        <f>L10</f>
        <v>0</v>
      </c>
      <c r="L110" s="62">
        <f>SUBTOTAL(9,L111:L125)</f>
        <v>0</v>
      </c>
      <c r="M110" s="63">
        <f>IFERROR($K110*J110,NA())</f>
        <v>0</v>
      </c>
      <c r="N110" s="64">
        <f t="array" ref="N110">SUM(
IF(N111:N125="",0,
IF(VALUE($J111:$J125)&gt;=N111:N125,1,0)
))</f>
        <v>0</v>
      </c>
      <c r="O110" s="64">
        <f t="array" ref="O110">SUM(
IF(O111:O125="",0,
IF(VALUE($J111:$J125)&gt;=O111:O125,1,0)
))</f>
        <v>0</v>
      </c>
      <c r="P110" s="64">
        <f t="array" ref="P110">SUM(
IF(P111:P125="",0,
IF(VALUE($J111:$J125)&gt;=P111:P125,1,0)
))</f>
        <v>0</v>
      </c>
      <c r="Q110" s="64">
        <f t="array" ref="Q110">SUM(
IF(Q111:Q125="",0,
IF(VALUE($J111:$J125)&gt;=Q111:Q125,1,0)
))</f>
        <v>0</v>
      </c>
      <c r="R110" s="64">
        <f t="array" ref="R110">SUM(
IF(R111:R125="",0,
IF(VALUE($J111:$J125)&gt;=R111:R125,1,0)
))</f>
        <v>0</v>
      </c>
      <c r="S110" s="64">
        <f t="array" ref="S110">SUM(
IF(S111:S125="",0,
IF(VALUE($J111:$J125)&gt;=S111:S125,1,0)
))</f>
        <v>0</v>
      </c>
      <c r="T110" s="64">
        <f t="array" ref="T110">SUM(
IF(T111:T125="",0,
IF(VALUE($J111:$J125)&gt;=T111:T125,1,0)
))</f>
        <v>0</v>
      </c>
      <c r="U110" s="64">
        <f t="array" ref="U110">SUM(
IF(U111:U125="",0,
IF(VALUE($J111:$J125)&gt;=U111:U125,1,0)
))</f>
        <v>0</v>
      </c>
      <c r="V110" s="64">
        <f t="array" ref="V110">SUM(
IF(V111:V125="",0,
IF(VALUE($J111:$J125)&gt;=V111:V125,1,0)
))</f>
        <v>0</v>
      </c>
      <c r="W110" s="64">
        <f t="array" ref="W110">SUM(
IF(W111:W125="",0,
IF(VALUE($J111:$J125)&gt;=W111:W125,1,0)
))</f>
        <v>0</v>
      </c>
      <c r="X110" s="64">
        <f t="array" ref="X110">SUM(
IF(X111:X125="",0,
IF(VALUE($J111:$J125)&gt;=X111:X125,1,0)
))</f>
        <v>0</v>
      </c>
      <c r="Y110" s="64">
        <f t="array" ref="Y110">SUM(
IF(Y111:Y125="",0,
IF(VALUE($J111:$J125)&gt;=Y111:Y125,1,0)
))</f>
        <v>0</v>
      </c>
      <c r="Z110" s="64">
        <f t="array" ref="Z110">SUM(
IF(Z111:Z125="",0,
IF(VALUE($J111:$J125)&gt;=Z111:Z125,1,0)
))</f>
        <v>0</v>
      </c>
      <c r="AA110" s="64">
        <f t="array" ref="AA110">SUM(
IF(AA111:AA125="",0,
IF(VALUE($J111:$J125)&gt;=AA111:AA125,1,0)
))</f>
        <v>0</v>
      </c>
      <c r="AB110" s="64">
        <f t="array" ref="AB110">SUM(
IF(AB111:AB125="",0,
IF(VALUE($J111:$J125)&gt;=AB111:AB125,1,0)
))</f>
        <v>0</v>
      </c>
      <c r="AC110" s="64">
        <f t="array" ref="AC110">SUM(
IF(AC111:AC125="",0,
IF(VALUE($J111:$J125)&gt;=AC111:AC125,1,0)
))</f>
        <v>0</v>
      </c>
      <c r="AD110" s="64">
        <f t="array" ref="AD110">SUM(
IF(AD111:AD125="",0,
IF(VALUE($J111:$J125)&gt;=AD111:AD125,1,0)
))</f>
        <v>0</v>
      </c>
      <c r="AE110" s="64">
        <f t="array" ref="AE110">SUM(
IF(AE111:AE125="",0,
IF(VALUE($J111:$J125)&gt;=AE111:AE125,1,0)
))</f>
        <v>0</v>
      </c>
      <c r="AF110" s="64">
        <f t="array" ref="AF110">SUM(
IF(AF111:AF125="",0,
IF(VALUE($J111:$J125)&gt;=AF111:AF125,1,0)
))</f>
        <v>0</v>
      </c>
    </row>
    <row r="111" spans="2:32" s="79" customFormat="1" ht="15.75" hidden="1" outlineLevel="2" x14ac:dyDescent="0.2">
      <c r="B111" s="80"/>
      <c r="C111" s="80"/>
      <c r="D111" s="80"/>
      <c r="E111" s="66"/>
      <c r="F111" s="67">
        <v>1</v>
      </c>
      <c r="G111" s="68"/>
      <c r="H111" s="69"/>
      <c r="I111" s="69"/>
      <c r="J111" s="85">
        <v>0</v>
      </c>
      <c r="K111" s="70">
        <v>0.25</v>
      </c>
      <c r="L111" s="71">
        <f t="shared" ref="L111:L125" si="7">$K111*J111</f>
        <v>0</v>
      </c>
      <c r="M111" s="72"/>
      <c r="N111" s="73"/>
      <c r="O111" s="73"/>
      <c r="P111" s="73"/>
      <c r="Q111" s="73"/>
      <c r="R111" s="73"/>
      <c r="S111" s="73"/>
      <c r="T111" s="73"/>
      <c r="U111" s="73"/>
      <c r="V111" s="73"/>
      <c r="W111" s="73"/>
      <c r="X111" s="73"/>
      <c r="Y111" s="73"/>
      <c r="Z111" s="73"/>
      <c r="AA111" s="73"/>
      <c r="AB111" s="73"/>
      <c r="AC111" s="73"/>
      <c r="AD111" s="73"/>
      <c r="AE111" s="73"/>
      <c r="AF111" s="73"/>
    </row>
    <row r="112" spans="2:32" s="79" customFormat="1" ht="15.75" hidden="1" outlineLevel="2" x14ac:dyDescent="0.2">
      <c r="B112" s="80"/>
      <c r="C112" s="80"/>
      <c r="D112" s="80"/>
      <c r="E112" s="66"/>
      <c r="F112" s="67">
        <v>2</v>
      </c>
      <c r="G112" s="68"/>
      <c r="H112" s="69"/>
      <c r="I112" s="69"/>
      <c r="J112" s="85">
        <v>0</v>
      </c>
      <c r="K112" s="70">
        <v>0.25</v>
      </c>
      <c r="L112" s="71">
        <f t="shared" si="7"/>
        <v>0</v>
      </c>
      <c r="M112" s="72"/>
      <c r="N112" s="73"/>
      <c r="O112" s="73"/>
      <c r="P112" s="73"/>
      <c r="Q112" s="73"/>
      <c r="R112" s="73"/>
      <c r="S112" s="73"/>
      <c r="T112" s="73"/>
      <c r="U112" s="73"/>
      <c r="V112" s="73"/>
      <c r="W112" s="73"/>
      <c r="X112" s="73"/>
      <c r="Y112" s="73"/>
      <c r="Z112" s="73"/>
      <c r="AA112" s="73"/>
      <c r="AB112" s="73"/>
      <c r="AC112" s="73"/>
      <c r="AD112" s="73"/>
      <c r="AE112" s="73"/>
      <c r="AF112" s="73"/>
    </row>
    <row r="113" spans="2:32" s="79" customFormat="1" ht="15.75" hidden="1" outlineLevel="2" x14ac:dyDescent="0.2">
      <c r="B113" s="80"/>
      <c r="C113" s="80"/>
      <c r="D113" s="80"/>
      <c r="E113" s="66"/>
      <c r="F113" s="67">
        <v>3</v>
      </c>
      <c r="G113" s="68"/>
      <c r="H113" s="69"/>
      <c r="I113" s="69"/>
      <c r="J113" s="85">
        <v>0</v>
      </c>
      <c r="K113" s="70">
        <v>0.25</v>
      </c>
      <c r="L113" s="71">
        <f t="shared" si="7"/>
        <v>0</v>
      </c>
      <c r="M113" s="72"/>
      <c r="N113" s="73"/>
      <c r="O113" s="73"/>
      <c r="P113" s="73"/>
      <c r="Q113" s="73"/>
      <c r="R113" s="73"/>
      <c r="S113" s="73"/>
      <c r="T113" s="73"/>
      <c r="U113" s="73"/>
      <c r="V113" s="73"/>
      <c r="W113" s="73"/>
      <c r="X113" s="73"/>
      <c r="Y113" s="73"/>
      <c r="Z113" s="73"/>
      <c r="AA113" s="73"/>
      <c r="AB113" s="73"/>
      <c r="AC113" s="73"/>
      <c r="AD113" s="73"/>
      <c r="AE113" s="73"/>
      <c r="AF113" s="73"/>
    </row>
    <row r="114" spans="2:32" s="79" customFormat="1" ht="15.75" hidden="1" outlineLevel="2" x14ac:dyDescent="0.2">
      <c r="B114" s="80"/>
      <c r="C114" s="80"/>
      <c r="D114" s="80"/>
      <c r="E114" s="66"/>
      <c r="F114" s="67">
        <v>4</v>
      </c>
      <c r="G114" s="68"/>
      <c r="H114" s="69"/>
      <c r="I114" s="69"/>
      <c r="J114" s="85">
        <v>0</v>
      </c>
      <c r="K114" s="70">
        <v>0.25</v>
      </c>
      <c r="L114" s="71">
        <f t="shared" si="7"/>
        <v>0</v>
      </c>
      <c r="M114" s="72"/>
      <c r="N114" s="73"/>
      <c r="O114" s="73"/>
      <c r="P114" s="73"/>
      <c r="Q114" s="73"/>
      <c r="R114" s="73"/>
      <c r="S114" s="73"/>
      <c r="T114" s="73"/>
      <c r="U114" s="73"/>
      <c r="V114" s="73"/>
      <c r="W114" s="73"/>
      <c r="X114" s="73"/>
      <c r="Y114" s="73"/>
      <c r="Z114" s="73"/>
      <c r="AA114" s="73"/>
      <c r="AB114" s="73"/>
      <c r="AC114" s="73"/>
      <c r="AD114" s="73"/>
      <c r="AE114" s="73"/>
      <c r="AF114" s="73"/>
    </row>
    <row r="115" spans="2:32" s="79" customFormat="1" ht="15.75" hidden="1" outlineLevel="2" x14ac:dyDescent="0.2">
      <c r="B115" s="80"/>
      <c r="C115" s="80"/>
      <c r="D115" s="80"/>
      <c r="E115" s="66"/>
      <c r="F115" s="67">
        <v>5</v>
      </c>
      <c r="G115" s="68"/>
      <c r="H115" s="69"/>
      <c r="I115" s="69"/>
      <c r="J115" s="85">
        <v>0</v>
      </c>
      <c r="K115" s="70"/>
      <c r="L115" s="71">
        <f t="shared" si="7"/>
        <v>0</v>
      </c>
      <c r="M115" s="72"/>
      <c r="N115" s="73"/>
      <c r="O115" s="73"/>
      <c r="P115" s="73"/>
      <c r="Q115" s="73"/>
      <c r="R115" s="73"/>
      <c r="S115" s="73"/>
      <c r="T115" s="73"/>
      <c r="U115" s="73"/>
      <c r="V115" s="73"/>
      <c r="W115" s="73"/>
      <c r="X115" s="73"/>
      <c r="Y115" s="73"/>
      <c r="Z115" s="73"/>
      <c r="AA115" s="73"/>
      <c r="AB115" s="73"/>
      <c r="AC115" s="73"/>
      <c r="AD115" s="73"/>
      <c r="AE115" s="73"/>
      <c r="AF115" s="73"/>
    </row>
    <row r="116" spans="2:32" s="79" customFormat="1" ht="15.75" hidden="1" outlineLevel="2" x14ac:dyDescent="0.2">
      <c r="B116" s="80"/>
      <c r="C116" s="80"/>
      <c r="D116" s="80"/>
      <c r="E116" s="66"/>
      <c r="F116" s="67">
        <v>6</v>
      </c>
      <c r="G116" s="68"/>
      <c r="H116" s="69"/>
      <c r="I116" s="69"/>
      <c r="J116" s="85">
        <v>0</v>
      </c>
      <c r="K116" s="70"/>
      <c r="L116" s="71">
        <f t="shared" si="7"/>
        <v>0</v>
      </c>
      <c r="M116" s="72"/>
      <c r="N116" s="73"/>
      <c r="O116" s="73"/>
      <c r="P116" s="73"/>
      <c r="Q116" s="73"/>
      <c r="R116" s="73"/>
      <c r="S116" s="73"/>
      <c r="T116" s="73"/>
      <c r="U116" s="73"/>
      <c r="V116" s="73"/>
      <c r="W116" s="73"/>
      <c r="X116" s="73"/>
      <c r="Y116" s="73"/>
      <c r="Z116" s="73"/>
      <c r="AA116" s="73"/>
      <c r="AB116" s="73"/>
      <c r="AC116" s="73"/>
      <c r="AD116" s="73"/>
      <c r="AE116" s="73"/>
      <c r="AF116" s="73"/>
    </row>
    <row r="117" spans="2:32" s="79" customFormat="1" ht="15.75" hidden="1" outlineLevel="2" x14ac:dyDescent="0.2">
      <c r="B117" s="80"/>
      <c r="C117" s="80"/>
      <c r="D117" s="80"/>
      <c r="E117" s="66"/>
      <c r="F117" s="67">
        <v>7</v>
      </c>
      <c r="G117" s="68"/>
      <c r="H117" s="69"/>
      <c r="I117" s="69"/>
      <c r="J117" s="85">
        <v>0</v>
      </c>
      <c r="K117" s="70"/>
      <c r="L117" s="71">
        <f t="shared" si="7"/>
        <v>0</v>
      </c>
      <c r="M117" s="72"/>
      <c r="N117" s="73"/>
      <c r="O117" s="73"/>
      <c r="P117" s="73"/>
      <c r="Q117" s="73"/>
      <c r="R117" s="73"/>
      <c r="S117" s="73"/>
      <c r="T117" s="73"/>
      <c r="U117" s="73"/>
      <c r="V117" s="73"/>
      <c r="W117" s="73"/>
      <c r="X117" s="73"/>
      <c r="Y117" s="73"/>
      <c r="Z117" s="73"/>
      <c r="AA117" s="73"/>
      <c r="AB117" s="73"/>
      <c r="AC117" s="73"/>
      <c r="AD117" s="73"/>
      <c r="AE117" s="73"/>
      <c r="AF117" s="73"/>
    </row>
    <row r="118" spans="2:32" s="79" customFormat="1" ht="15.75" hidden="1" outlineLevel="2" x14ac:dyDescent="0.2">
      <c r="B118" s="80"/>
      <c r="C118" s="80"/>
      <c r="D118" s="80"/>
      <c r="E118" s="66"/>
      <c r="F118" s="67">
        <v>8</v>
      </c>
      <c r="G118" s="68"/>
      <c r="H118" s="69"/>
      <c r="I118" s="69"/>
      <c r="J118" s="85">
        <v>0</v>
      </c>
      <c r="K118" s="70"/>
      <c r="L118" s="71">
        <f t="shared" si="7"/>
        <v>0</v>
      </c>
      <c r="M118" s="72"/>
      <c r="N118" s="73"/>
      <c r="O118" s="73"/>
      <c r="P118" s="73"/>
      <c r="Q118" s="73"/>
      <c r="R118" s="73"/>
      <c r="S118" s="73"/>
      <c r="T118" s="73"/>
      <c r="U118" s="73"/>
      <c r="V118" s="73"/>
      <c r="W118" s="73"/>
      <c r="X118" s="73"/>
      <c r="Y118" s="73"/>
      <c r="Z118" s="73"/>
      <c r="AA118" s="73"/>
      <c r="AB118" s="73"/>
      <c r="AC118" s="73"/>
      <c r="AD118" s="73"/>
      <c r="AE118" s="73"/>
      <c r="AF118" s="73"/>
    </row>
    <row r="119" spans="2:32" s="79" customFormat="1" ht="15.75" hidden="1" outlineLevel="2" x14ac:dyDescent="0.2">
      <c r="B119" s="80"/>
      <c r="C119" s="80"/>
      <c r="D119" s="80"/>
      <c r="E119" s="66"/>
      <c r="F119" s="67">
        <v>9</v>
      </c>
      <c r="G119" s="68"/>
      <c r="H119" s="69"/>
      <c r="I119" s="69"/>
      <c r="J119" s="85">
        <v>0</v>
      </c>
      <c r="K119" s="70"/>
      <c r="L119" s="71">
        <f t="shared" si="7"/>
        <v>0</v>
      </c>
      <c r="M119" s="72"/>
      <c r="N119" s="73"/>
      <c r="O119" s="73"/>
      <c r="P119" s="73"/>
      <c r="Q119" s="73"/>
      <c r="R119" s="73"/>
      <c r="S119" s="73"/>
      <c r="T119" s="73"/>
      <c r="U119" s="73"/>
      <c r="V119" s="73"/>
      <c r="W119" s="73"/>
      <c r="X119" s="73"/>
      <c r="Y119" s="73"/>
      <c r="Z119" s="73"/>
      <c r="AA119" s="73"/>
      <c r="AB119" s="73"/>
      <c r="AC119" s="73"/>
      <c r="AD119" s="73"/>
      <c r="AE119" s="73"/>
      <c r="AF119" s="73"/>
    </row>
    <row r="120" spans="2:32" s="79" customFormat="1" ht="15.75" hidden="1" outlineLevel="2" x14ac:dyDescent="0.2">
      <c r="B120" s="80"/>
      <c r="C120" s="80"/>
      <c r="D120" s="80"/>
      <c r="E120" s="66"/>
      <c r="F120" s="67">
        <v>10</v>
      </c>
      <c r="G120" s="68"/>
      <c r="H120" s="69"/>
      <c r="I120" s="69"/>
      <c r="J120" s="85">
        <v>0</v>
      </c>
      <c r="K120" s="70"/>
      <c r="L120" s="71">
        <f t="shared" si="7"/>
        <v>0</v>
      </c>
      <c r="M120" s="72"/>
      <c r="N120" s="73"/>
      <c r="O120" s="73"/>
      <c r="P120" s="73"/>
      <c r="Q120" s="73"/>
      <c r="R120" s="73"/>
      <c r="S120" s="73"/>
      <c r="T120" s="73"/>
      <c r="U120" s="73"/>
      <c r="V120" s="73"/>
      <c r="W120" s="73"/>
      <c r="X120" s="73"/>
      <c r="Y120" s="73"/>
      <c r="Z120" s="73"/>
      <c r="AA120" s="73"/>
      <c r="AB120" s="73"/>
      <c r="AC120" s="73"/>
      <c r="AD120" s="73"/>
      <c r="AE120" s="73"/>
      <c r="AF120" s="73"/>
    </row>
    <row r="121" spans="2:32" s="79" customFormat="1" ht="15.75" hidden="1" outlineLevel="2" x14ac:dyDescent="0.2">
      <c r="B121" s="80"/>
      <c r="C121" s="80"/>
      <c r="D121" s="80"/>
      <c r="E121" s="66"/>
      <c r="F121" s="67">
        <v>11</v>
      </c>
      <c r="G121" s="68"/>
      <c r="H121" s="69"/>
      <c r="I121" s="69"/>
      <c r="J121" s="85">
        <v>0</v>
      </c>
      <c r="K121" s="70"/>
      <c r="L121" s="71">
        <f t="shared" si="7"/>
        <v>0</v>
      </c>
      <c r="M121" s="72"/>
      <c r="N121" s="73"/>
      <c r="O121" s="73"/>
      <c r="P121" s="73"/>
      <c r="Q121" s="73"/>
      <c r="R121" s="73"/>
      <c r="S121" s="73"/>
      <c r="T121" s="73"/>
      <c r="U121" s="73"/>
      <c r="V121" s="73"/>
      <c r="W121" s="73"/>
      <c r="X121" s="73"/>
      <c r="Y121" s="73"/>
      <c r="Z121" s="73"/>
      <c r="AA121" s="73"/>
      <c r="AB121" s="73"/>
      <c r="AC121" s="73"/>
      <c r="AD121" s="73"/>
      <c r="AE121" s="73"/>
      <c r="AF121" s="73"/>
    </row>
    <row r="122" spans="2:32" s="79" customFormat="1" ht="15.75" hidden="1" outlineLevel="2" x14ac:dyDescent="0.2">
      <c r="B122" s="80"/>
      <c r="C122" s="80"/>
      <c r="D122" s="80"/>
      <c r="E122" s="66"/>
      <c r="F122" s="67">
        <v>12</v>
      </c>
      <c r="G122" s="68"/>
      <c r="H122" s="69"/>
      <c r="I122" s="69"/>
      <c r="J122" s="85">
        <v>0</v>
      </c>
      <c r="K122" s="70"/>
      <c r="L122" s="71">
        <f t="shared" si="7"/>
        <v>0</v>
      </c>
      <c r="M122" s="72"/>
      <c r="N122" s="73"/>
      <c r="O122" s="73"/>
      <c r="P122" s="73"/>
      <c r="Q122" s="73"/>
      <c r="R122" s="73"/>
      <c r="S122" s="73"/>
      <c r="T122" s="73"/>
      <c r="U122" s="73"/>
      <c r="V122" s="73"/>
      <c r="W122" s="73"/>
      <c r="X122" s="73"/>
      <c r="Y122" s="73"/>
      <c r="Z122" s="73"/>
      <c r="AA122" s="73"/>
      <c r="AB122" s="73"/>
      <c r="AC122" s="73"/>
      <c r="AD122" s="73"/>
      <c r="AE122" s="73"/>
      <c r="AF122" s="73"/>
    </row>
    <row r="123" spans="2:32" s="79" customFormat="1" ht="15.75" hidden="1" outlineLevel="2" x14ac:dyDescent="0.2">
      <c r="B123" s="80"/>
      <c r="C123" s="80"/>
      <c r="D123" s="80"/>
      <c r="E123" s="66"/>
      <c r="F123" s="67">
        <v>13</v>
      </c>
      <c r="G123" s="68"/>
      <c r="H123" s="69"/>
      <c r="I123" s="69"/>
      <c r="J123" s="85">
        <v>0</v>
      </c>
      <c r="K123" s="70"/>
      <c r="L123" s="71">
        <f t="shared" si="7"/>
        <v>0</v>
      </c>
      <c r="M123" s="72"/>
      <c r="N123" s="73"/>
      <c r="O123" s="73"/>
      <c r="P123" s="73"/>
      <c r="Q123" s="73"/>
      <c r="R123" s="73"/>
      <c r="S123" s="73"/>
      <c r="T123" s="73"/>
      <c r="U123" s="73"/>
      <c r="V123" s="73"/>
      <c r="W123" s="73"/>
      <c r="X123" s="73"/>
      <c r="Y123" s="73"/>
      <c r="Z123" s="73"/>
      <c r="AA123" s="73"/>
      <c r="AB123" s="73"/>
      <c r="AC123" s="73"/>
      <c r="AD123" s="73"/>
      <c r="AE123" s="73"/>
      <c r="AF123" s="73"/>
    </row>
    <row r="124" spans="2:32" s="79" customFormat="1" ht="15.75" hidden="1" outlineLevel="2" x14ac:dyDescent="0.2">
      <c r="B124" s="80"/>
      <c r="C124" s="80"/>
      <c r="D124" s="80"/>
      <c r="E124" s="66"/>
      <c r="F124" s="67">
        <v>14</v>
      </c>
      <c r="G124" s="68"/>
      <c r="H124" s="69"/>
      <c r="I124" s="69"/>
      <c r="J124" s="85">
        <v>0</v>
      </c>
      <c r="K124" s="70"/>
      <c r="L124" s="71">
        <f t="shared" si="7"/>
        <v>0</v>
      </c>
      <c r="M124" s="72"/>
      <c r="N124" s="73"/>
      <c r="O124" s="73"/>
      <c r="P124" s="73"/>
      <c r="Q124" s="73"/>
      <c r="R124" s="73"/>
      <c r="S124" s="73"/>
      <c r="T124" s="73"/>
      <c r="U124" s="73"/>
      <c r="V124" s="73"/>
      <c r="W124" s="73"/>
      <c r="X124" s="73"/>
      <c r="Y124" s="73"/>
      <c r="Z124" s="73"/>
      <c r="AA124" s="73"/>
      <c r="AB124" s="73"/>
      <c r="AC124" s="73"/>
      <c r="AD124" s="73"/>
      <c r="AE124" s="73"/>
      <c r="AF124" s="73"/>
    </row>
    <row r="125" spans="2:32" s="79" customFormat="1" ht="15.75" hidden="1" outlineLevel="2" x14ac:dyDescent="0.2">
      <c r="B125" s="80"/>
      <c r="C125" s="80"/>
      <c r="D125" s="80"/>
      <c r="E125" s="66"/>
      <c r="F125" s="67">
        <v>15</v>
      </c>
      <c r="G125" s="68"/>
      <c r="H125" s="69"/>
      <c r="I125" s="69"/>
      <c r="J125" s="85">
        <v>0</v>
      </c>
      <c r="K125" s="70"/>
      <c r="L125" s="71">
        <f t="shared" si="7"/>
        <v>0</v>
      </c>
      <c r="M125" s="72"/>
      <c r="N125" s="73"/>
      <c r="O125" s="73"/>
      <c r="P125" s="73"/>
      <c r="Q125" s="73"/>
      <c r="R125" s="73"/>
      <c r="S125" s="73"/>
      <c r="T125" s="73"/>
      <c r="U125" s="73"/>
      <c r="V125" s="73"/>
      <c r="W125" s="73"/>
      <c r="X125" s="73"/>
      <c r="Y125" s="73"/>
      <c r="Z125" s="73"/>
      <c r="AA125" s="73"/>
      <c r="AB125" s="73"/>
      <c r="AC125" s="73"/>
      <c r="AD125" s="73"/>
      <c r="AE125" s="73"/>
      <c r="AF125" s="73"/>
    </row>
  </sheetData>
  <sheetProtection selectLockedCells="1"/>
  <autoFilter ref="B13:M125"/>
  <conditionalFormatting sqref="K4:K10">
    <cfRule type="iconSet" priority="58">
      <iconSet iconSet="3Symbols" reverse="1">
        <cfvo type="percent" val="0"/>
        <cfvo type="num" val="3"/>
        <cfvo type="num" val="6"/>
      </iconSet>
    </cfRule>
  </conditionalFormatting>
  <conditionalFormatting sqref="K2 L4:L11">
    <cfRule type="expression" dxfId="15" priority="57">
      <formula>ISERROR($K$2)</formula>
    </cfRule>
  </conditionalFormatting>
  <conditionalFormatting sqref="K2">
    <cfRule type="iconSet" priority="27">
      <iconSet iconSet="3Symbols" reverse="1">
        <cfvo type="percent" val="0"/>
        <cfvo type="num" val="3"/>
        <cfvo type="num" val="6"/>
      </iconSet>
    </cfRule>
  </conditionalFormatting>
  <conditionalFormatting sqref="N13:AF13">
    <cfRule type="expression" dxfId="14" priority="22">
      <formula>N$12&gt;0</formula>
    </cfRule>
  </conditionalFormatting>
  <conditionalFormatting sqref="J30">
    <cfRule type="iconSet" priority="21">
      <iconSet iconSet="3Symbols" reverse="1">
        <cfvo type="percent" val="0"/>
        <cfvo type="num" val="3"/>
        <cfvo type="num" val="6"/>
      </iconSet>
    </cfRule>
  </conditionalFormatting>
  <conditionalFormatting sqref="J46">
    <cfRule type="iconSet" priority="20">
      <iconSet iconSet="3Symbols" reverse="1">
        <cfvo type="percent" val="0"/>
        <cfvo type="num" val="3"/>
        <cfvo type="num" val="6"/>
      </iconSet>
    </cfRule>
  </conditionalFormatting>
  <conditionalFormatting sqref="J62">
    <cfRule type="iconSet" priority="19">
      <iconSet iconSet="3Symbols" reverse="1">
        <cfvo type="percent" val="0"/>
        <cfvo type="num" val="3"/>
        <cfvo type="num" val="6"/>
      </iconSet>
    </cfRule>
  </conditionalFormatting>
  <conditionalFormatting sqref="J78">
    <cfRule type="iconSet" priority="18">
      <iconSet iconSet="3Symbols" reverse="1">
        <cfvo type="percent" val="0"/>
        <cfvo type="num" val="3"/>
        <cfvo type="num" val="6"/>
      </iconSet>
    </cfRule>
  </conditionalFormatting>
  <conditionalFormatting sqref="J94">
    <cfRule type="iconSet" priority="17">
      <iconSet iconSet="3Symbols" reverse="1">
        <cfvo type="percent" val="0"/>
        <cfvo type="num" val="3"/>
        <cfvo type="num" val="6"/>
      </iconSet>
    </cfRule>
  </conditionalFormatting>
  <conditionalFormatting sqref="J110">
    <cfRule type="iconSet" priority="16">
      <iconSet iconSet="3Symbols" reverse="1">
        <cfvo type="percent" val="0"/>
        <cfvo type="num" val="3"/>
        <cfvo type="num" val="6"/>
      </iconSet>
    </cfRule>
  </conditionalFormatting>
  <conditionalFormatting sqref="H14:I14">
    <cfRule type="expression" dxfId="13" priority="15">
      <formula>$I14&lt;&gt;100%</formula>
    </cfRule>
  </conditionalFormatting>
  <conditionalFormatting sqref="H30:I30">
    <cfRule type="expression" dxfId="12" priority="14">
      <formula>$I30&lt;&gt;100%</formula>
    </cfRule>
  </conditionalFormatting>
  <conditionalFormatting sqref="H46:I46">
    <cfRule type="expression" dxfId="11" priority="13">
      <formula>$I46&lt;&gt;100%</formula>
    </cfRule>
  </conditionalFormatting>
  <conditionalFormatting sqref="H62:I62">
    <cfRule type="expression" dxfId="10" priority="12">
      <formula>$I62&lt;&gt;100%</formula>
    </cfRule>
  </conditionalFormatting>
  <conditionalFormatting sqref="H78:I78">
    <cfRule type="expression" dxfId="9" priority="11">
      <formula>$I78&lt;&gt;100%</formula>
    </cfRule>
  </conditionalFormatting>
  <conditionalFormatting sqref="H94:I94">
    <cfRule type="expression" dxfId="8" priority="10">
      <formula>$I94&lt;&gt;100%</formula>
    </cfRule>
  </conditionalFormatting>
  <conditionalFormatting sqref="H110:I110">
    <cfRule type="expression" dxfId="7" priority="9">
      <formula>$I110&lt;&gt;100%</formula>
    </cfRule>
  </conditionalFormatting>
  <conditionalFormatting sqref="I30">
    <cfRule type="expression" dxfId="6" priority="8">
      <formula>$I30&lt;&gt;100%</formula>
    </cfRule>
  </conditionalFormatting>
  <conditionalFormatting sqref="I46">
    <cfRule type="expression" dxfId="5" priority="7">
      <formula>$I46&lt;&gt;100%</formula>
    </cfRule>
  </conditionalFormatting>
  <conditionalFormatting sqref="I62">
    <cfRule type="expression" dxfId="4" priority="6">
      <formula>$I62&lt;&gt;100%</formula>
    </cfRule>
  </conditionalFormatting>
  <conditionalFormatting sqref="I78">
    <cfRule type="expression" dxfId="3" priority="5">
      <formula>$I78&lt;&gt;100%</formula>
    </cfRule>
  </conditionalFormatting>
  <conditionalFormatting sqref="I94">
    <cfRule type="expression" dxfId="2" priority="4">
      <formula>$I94&lt;&gt;100%</formula>
    </cfRule>
  </conditionalFormatting>
  <conditionalFormatting sqref="I110">
    <cfRule type="expression" dxfId="1" priority="3">
      <formula>$I110&lt;&gt;100%</formula>
    </cfRule>
  </conditionalFormatting>
  <conditionalFormatting sqref="J14">
    <cfRule type="iconSet" priority="2">
      <iconSet iconSet="3Symbols" reverse="1">
        <cfvo type="percent" val="0"/>
        <cfvo type="num" val="3"/>
        <cfvo type="num" val="6"/>
      </iconSet>
    </cfRule>
  </conditionalFormatting>
  <conditionalFormatting sqref="J3:K3">
    <cfRule type="expression" dxfId="0" priority="1">
      <formula>$K$11&gt;0</formula>
    </cfRule>
  </conditionalFormatting>
  <dataValidations disablePrompts="1" xWindow="1185" yWindow="283" count="3">
    <dataValidation allowBlank="1" showInputMessage="1" showErrorMessage="1" promptTitle="Characteristics weight" prompt="Enter weight of CHARACTERITICS in relation to all other characteritics. Total characteristic weight must be 100%." sqref="K110 K30 K46 K62 K78 K94 K14"/>
    <dataValidation type="whole" allowBlank="1" showInputMessage="1" showErrorMessage="1" errorTitle="Enter rating - wrong entry" error="Please enter whole number between 0 and 7._x000a_Use column COMMENTS for additional remarks." promptTitle="Enter rating (0-7)" prompt="Use SCALE for guidance:_x000a_0  Not yet known_x000a_1  Most simple_x000a_2  Simple_x000a_3  Below average_x000a_4  Average_x000a_5  Above average_x000a_6 Complex_x000a_7 Most complex" sqref="J79:J93 J15:J29 J47:J61 J111:J125 J31:J45 J63:J77 J95:J109">
      <formula1>0</formula1>
      <formula2>7</formula2>
    </dataValidation>
    <dataValidation type="list" allowBlank="1" showInputMessage="1" showErrorMessage="1" sqref="H7">
      <formula1>$B$13:$D$13</formula1>
    </dataValidation>
  </dataValidations>
  <pageMargins left="0.70866141732283472" right="0.70866141732283472" top="0.74803149606299213" bottom="0.74803149606299213" header="0.31496062992125984" footer="0.31496062992125984"/>
  <pageSetup paperSize="8" scale="43" orientation="portrait" r:id="rId1"/>
  <headerFooter>
    <oddHeader>&amp;L&amp;G&amp;C&amp;14Complexity Assessment&amp;10
Proprietary and Confidential&amp;RPage
&amp;P of &amp;N</oddHeader>
    <oddFooter>&amp;LPM2_Initiation Phase_Complexity Assessment_V1.0.xlsm</oddFooter>
  </headerFooter>
  <drawing r:id="rId2"/>
  <legacyDrawing r:id="rId3"/>
  <legacyDrawingHF r:id="rId4"/>
  <controls>
    <mc:AlternateContent xmlns:mc="http://schemas.openxmlformats.org/markup-compatibility/2006">
      <mc:Choice Requires="x14">
        <control shapeId="2087" r:id="rId5" name="btnMandatory">
          <controlPr defaultSize="0" autoLine="0" r:id="rId6">
            <anchor moveWithCells="1">
              <from>
                <xdr:col>4</xdr:col>
                <xdr:colOff>47625</xdr:colOff>
                <xdr:row>4</xdr:row>
                <xdr:rowOff>0</xdr:rowOff>
              </from>
              <to>
                <xdr:col>4</xdr:col>
                <xdr:colOff>790575</xdr:colOff>
                <xdr:row>5</xdr:row>
                <xdr:rowOff>47625</xdr:rowOff>
              </to>
            </anchor>
          </controlPr>
        </control>
      </mc:Choice>
      <mc:Fallback>
        <control shapeId="2087" r:id="rId5" name="btnMandatory"/>
      </mc:Fallback>
    </mc:AlternateContent>
    <mc:AlternateContent xmlns:mc="http://schemas.openxmlformats.org/markup-compatibility/2006">
      <mc:Choice Requires="x14">
        <control shapeId="2089" r:id="rId7" name="btnRecommended">
          <controlPr defaultSize="0" autoLine="0" r:id="rId8">
            <anchor moveWithCells="1">
              <from>
                <xdr:col>4</xdr:col>
                <xdr:colOff>47625</xdr:colOff>
                <xdr:row>6</xdr:row>
                <xdr:rowOff>0</xdr:rowOff>
              </from>
              <to>
                <xdr:col>4</xdr:col>
                <xdr:colOff>790575</xdr:colOff>
                <xdr:row>7</xdr:row>
                <xdr:rowOff>47625</xdr:rowOff>
              </to>
            </anchor>
          </controlPr>
        </control>
      </mc:Choice>
      <mc:Fallback>
        <control shapeId="2089" r:id="rId7" name="btnRecommended"/>
      </mc:Fallback>
    </mc:AlternateContent>
    <mc:AlternateContent xmlns:mc="http://schemas.openxmlformats.org/markup-compatibility/2006">
      <mc:Choice Requires="x14">
        <control shapeId="2090" r:id="rId9" name="btnResetFilter">
          <controlPr defaultSize="0" autoLine="0" r:id="rId10">
            <anchor moveWithCells="1">
              <from>
                <xdr:col>4</xdr:col>
                <xdr:colOff>47625</xdr:colOff>
                <xdr:row>8</xdr:row>
                <xdr:rowOff>0</xdr:rowOff>
              </from>
              <to>
                <xdr:col>4</xdr:col>
                <xdr:colOff>790575</xdr:colOff>
                <xdr:row>9</xdr:row>
                <xdr:rowOff>47625</xdr:rowOff>
              </to>
            </anchor>
          </controlPr>
        </control>
      </mc:Choice>
      <mc:Fallback>
        <control shapeId="2090" r:id="rId9" name="btnResetFilter"/>
      </mc:Fallback>
    </mc:AlternateContent>
    <mc:AlternateContent xmlns:mc="http://schemas.openxmlformats.org/markup-compatibility/2006">
      <mc:Choice Requires="x14">
        <control shapeId="2094" r:id="rId11" name="btnResetRating">
          <controlPr defaultSize="0" autoLine="0" r:id="rId12">
            <anchor moveWithCells="1">
              <from>
                <xdr:col>4</xdr:col>
                <xdr:colOff>47625</xdr:colOff>
                <xdr:row>1</xdr:row>
                <xdr:rowOff>0</xdr:rowOff>
              </from>
              <to>
                <xdr:col>4</xdr:col>
                <xdr:colOff>790575</xdr:colOff>
                <xdr:row>2</xdr:row>
                <xdr:rowOff>0</xdr:rowOff>
              </to>
            </anchor>
          </controlPr>
        </control>
      </mc:Choice>
      <mc:Fallback>
        <control shapeId="2094" r:id="rId11" name="btnResetRating"/>
      </mc:Fallback>
    </mc:AlternateContent>
    <mc:AlternateContent xmlns:mc="http://schemas.openxmlformats.org/markup-compatibility/2006">
      <mc:Choice Requires="x14">
        <control shapeId="2093" r:id="rId13" name="Group Box 45">
          <controlPr defaultSize="0" autoFill="0" autoPict="0">
            <anchor moveWithCells="1">
              <from>
                <xdr:col>4</xdr:col>
                <xdr:colOff>0</xdr:colOff>
                <xdr:row>3</xdr:row>
                <xdr:rowOff>0</xdr:rowOff>
              </from>
              <to>
                <xdr:col>5</xdr:col>
                <xdr:colOff>0</xdr:colOff>
                <xdr:row>9</xdr:row>
                <xdr:rowOff>114300</xdr:rowOff>
              </to>
            </anchor>
          </controlPr>
        </control>
      </mc:Choice>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6C3671559E7804D8A790FF3C8E9DBA2" ma:contentTypeVersion="0" ma:contentTypeDescription="Create a new document." ma:contentTypeScope="" ma:versionID="9814935337274dd45c4698c970ca978f">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87FF7EC-FC4F-4B13-8000-2FFF5600C40C}">
  <ds:schemaRefs>
    <ds:schemaRef ds:uri="http://schemas.microsoft.com/sharepoint/v3/contenttype/forms"/>
  </ds:schemaRefs>
</ds:datastoreItem>
</file>

<file path=customXml/itemProps2.xml><?xml version="1.0" encoding="utf-8"?>
<ds:datastoreItem xmlns:ds="http://schemas.openxmlformats.org/officeDocument/2006/customXml" ds:itemID="{EEBB6B27-7713-488F-A4EE-25BE105C64C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D65FF138-09F7-47F3-81DF-DB8E7447E2F2}">
  <ds:schemaRefs>
    <ds:schemaRef ds:uri="http://schemas.microsoft.com/office/2006/documentManagement/types"/>
    <ds:schemaRef ds:uri="http://schemas.openxmlformats.org/package/2006/metadata/core-properties"/>
    <ds:schemaRef ds:uri="http://purl.org/dc/elements/1.1/"/>
    <ds:schemaRef ds:uri="http://schemas.microsoft.com/office/infopath/2007/PartnerControls"/>
    <ds:schemaRef ds:uri="http://schemas.microsoft.com/office/2006/metadata/properties"/>
    <ds:schemaRef ds:uri="http://purl.org/dc/term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3</vt:i4>
      </vt:variant>
    </vt:vector>
  </HeadingPairs>
  <TitlesOfParts>
    <vt:vector size="5" baseType="lpstr">
      <vt:lpstr>Instructions</vt:lpstr>
      <vt:lpstr>Data Entry</vt:lpstr>
      <vt:lpstr>const_Rating</vt:lpstr>
      <vt:lpstr>var_Phase</vt:lpstr>
      <vt:lpstr>var_Question</vt:lpstr>
    </vt:vector>
  </TitlesOfParts>
  <Company>None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Complexity Worksheet</dc:title>
  <dc:subject>Project Complexity Calculator</dc:subject>
  <dc:creator>Paul Hawbaker</dc:creator>
  <dc:description/>
  <cp:lastModifiedBy>Gunjan Jain (GJ)</cp:lastModifiedBy>
  <cp:lastPrinted>2011-02-14T15:32:49Z</cp:lastPrinted>
  <dcterms:created xsi:type="dcterms:W3CDTF">2003-12-01T14:50:00Z</dcterms:created>
  <dcterms:modified xsi:type="dcterms:W3CDTF">2013-05-08T09:41:59Z</dcterms:modified>
  <cp:category>Project WorkSheets</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0x01010006C3671559E7804D8A790FF3C8E9DBA2</vt:lpwstr>
  </property>
</Properties>
</file>